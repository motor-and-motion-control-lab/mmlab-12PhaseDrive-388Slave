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file\28388Board\mmlab-12PhaseDrive-388Slave\28388motherboard\"/>
    </mc:Choice>
  </mc:AlternateContent>
  <xr:revisionPtr revIDLastSave="0" documentId="13_ncr:1_{597D13C1-D3F8-4A04-8052-750172845AA2}" xr6:coauthVersionLast="47" xr6:coauthVersionMax="47" xr10:uidLastSave="{00000000-0000-0000-0000-000000000000}"/>
  <bookViews>
    <workbookView xWindow="1950" yWindow="1950" windowWidth="38700" windowHeight="15345" xr2:uid="{00000000-000D-0000-FFFF-FFFF00000000}"/>
  </bookViews>
  <sheets>
    <sheet name="PinMap" sheetId="1" r:id="rId1"/>
    <sheet name="Lists" sheetId="2" r:id="rId2"/>
    <sheet name="Sheet1" sheetId="3" r:id="rId3"/>
  </sheets>
  <definedNames>
    <definedName name="_xlnm._FilterDatabase" localSheetId="0" hidden="1">PinMap!$A$1:$J$191</definedName>
  </definedNames>
  <calcPr calcId="181029"/>
</workbook>
</file>

<file path=xl/calcChain.xml><?xml version="1.0" encoding="utf-8"?>
<calcChain xmlns="http://schemas.openxmlformats.org/spreadsheetml/2006/main">
  <c r="F143" i="1" l="1"/>
  <c r="F120" i="1"/>
  <c r="F5" i="1"/>
  <c r="F4" i="1"/>
  <c r="F170" i="1"/>
  <c r="F3" i="1"/>
  <c r="C3" i="1"/>
  <c r="F122" i="1"/>
  <c r="F123" i="1"/>
  <c r="F124" i="1"/>
  <c r="F125" i="1"/>
  <c r="F126" i="1"/>
  <c r="F6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09" i="1"/>
  <c r="F142" i="1"/>
  <c r="F144" i="1"/>
  <c r="F145" i="1"/>
  <c r="F146" i="1"/>
  <c r="F147" i="1"/>
  <c r="F148" i="1"/>
  <c r="F149" i="1"/>
  <c r="F150" i="1"/>
  <c r="F151" i="1"/>
  <c r="F152" i="1"/>
  <c r="F153" i="1"/>
  <c r="F2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12" i="1"/>
  <c r="F113" i="1"/>
  <c r="F114" i="1"/>
  <c r="F115" i="1"/>
  <c r="F116" i="1"/>
  <c r="F117" i="1"/>
  <c r="F118" i="1"/>
  <c r="F8" i="1"/>
  <c r="F141" i="1"/>
  <c r="F121" i="1"/>
  <c r="F98" i="1"/>
  <c r="F99" i="1"/>
  <c r="F100" i="1"/>
  <c r="F101" i="1"/>
  <c r="F102" i="1"/>
  <c r="F103" i="1"/>
  <c r="F104" i="1"/>
  <c r="F105" i="1"/>
  <c r="F106" i="1"/>
  <c r="F107" i="1"/>
  <c r="F108" i="1"/>
  <c r="F7" i="1"/>
  <c r="C59" i="1"/>
  <c r="C58" i="1"/>
  <c r="C14" i="1"/>
  <c r="C15" i="1"/>
  <c r="J171" i="1" l="1"/>
  <c r="J104" i="1"/>
  <c r="J105" i="1"/>
  <c r="J106" i="1"/>
  <c r="J107" i="1"/>
  <c r="J108" i="1"/>
  <c r="J120" i="1"/>
  <c r="J5" i="1"/>
  <c r="J4" i="1"/>
  <c r="J42" i="1"/>
  <c r="J112" i="1"/>
  <c r="J113" i="1"/>
  <c r="J114" i="1"/>
  <c r="J115" i="1"/>
  <c r="J116" i="1"/>
  <c r="J117" i="1"/>
  <c r="J118" i="1"/>
  <c r="J8" i="1"/>
  <c r="J141" i="1"/>
  <c r="J121" i="1"/>
  <c r="J97" i="1"/>
  <c r="J122" i="1"/>
  <c r="J123" i="1"/>
  <c r="J124" i="1"/>
  <c r="J125" i="1"/>
  <c r="J126" i="1"/>
  <c r="J6" i="1"/>
  <c r="J128" i="1"/>
  <c r="J129" i="1"/>
  <c r="J130" i="1"/>
  <c r="J131" i="1"/>
  <c r="J110" i="1"/>
  <c r="J132" i="1"/>
  <c r="J133" i="1"/>
  <c r="J134" i="1"/>
  <c r="J135" i="1"/>
  <c r="J136" i="1"/>
  <c r="J137" i="1"/>
  <c r="J138" i="1"/>
  <c r="J139" i="1"/>
  <c r="J140" i="1"/>
  <c r="J109" i="1"/>
  <c r="J111" i="1"/>
  <c r="J142" i="1"/>
  <c r="J144" i="1"/>
  <c r="J145" i="1"/>
  <c r="J146" i="1"/>
  <c r="J147" i="1"/>
  <c r="J148" i="1"/>
  <c r="J149" i="1"/>
  <c r="J150" i="1"/>
  <c r="J151" i="1"/>
  <c r="J119" i="1"/>
  <c r="J152" i="1"/>
  <c r="J153" i="1"/>
  <c r="J2" i="1"/>
  <c r="J155" i="1"/>
  <c r="J156" i="1"/>
  <c r="J157" i="1"/>
  <c r="J158" i="1"/>
  <c r="J159" i="1"/>
  <c r="J160" i="1"/>
  <c r="J161" i="1"/>
  <c r="J127" i="1"/>
  <c r="J162" i="1"/>
  <c r="J163" i="1"/>
  <c r="J164" i="1"/>
  <c r="J165" i="1"/>
  <c r="J166" i="1"/>
  <c r="J167" i="1"/>
  <c r="J168" i="1"/>
  <c r="J169" i="1"/>
  <c r="J170" i="1"/>
  <c r="J154" i="1"/>
  <c r="J10" i="1"/>
  <c r="J11" i="1"/>
  <c r="J18" i="1"/>
  <c r="J12" i="1"/>
  <c r="J13" i="1"/>
  <c r="J14" i="1"/>
  <c r="J15" i="1"/>
  <c r="J26" i="1"/>
  <c r="J27" i="1"/>
  <c r="J28" i="1"/>
  <c r="J29" i="1"/>
  <c r="J9" i="1"/>
  <c r="J31" i="1"/>
  <c r="J19" i="1"/>
  <c r="J32" i="1"/>
  <c r="J33" i="1"/>
  <c r="J34" i="1"/>
  <c r="J35" i="1"/>
  <c r="J36" i="1"/>
  <c r="J37" i="1"/>
  <c r="J38" i="1"/>
  <c r="J39" i="1"/>
  <c r="J40" i="1"/>
  <c r="J41" i="1"/>
  <c r="J20" i="1"/>
  <c r="J3" i="1"/>
  <c r="J43" i="1"/>
  <c r="J44" i="1"/>
  <c r="J45" i="1"/>
  <c r="J46" i="1"/>
  <c r="J47" i="1"/>
  <c r="J48" i="1"/>
  <c r="J49" i="1"/>
  <c r="J50" i="1"/>
  <c r="J51" i="1"/>
  <c r="J21" i="1"/>
  <c r="J52" i="1"/>
  <c r="J53" i="1"/>
  <c r="J54" i="1"/>
  <c r="J55" i="1"/>
  <c r="J56" i="1"/>
  <c r="J57" i="1"/>
  <c r="J58" i="1"/>
  <c r="J59" i="1"/>
  <c r="J60" i="1"/>
  <c r="J61" i="1"/>
  <c r="J22" i="1"/>
  <c r="J62" i="1"/>
  <c r="J63" i="1"/>
  <c r="J64" i="1"/>
  <c r="J65" i="1"/>
  <c r="J66" i="1"/>
  <c r="J67" i="1"/>
  <c r="J68" i="1"/>
  <c r="J69" i="1"/>
  <c r="J70" i="1"/>
  <c r="J71" i="1"/>
  <c r="J23" i="1"/>
  <c r="J72" i="1"/>
  <c r="J73" i="1"/>
  <c r="J74" i="1"/>
  <c r="J75" i="1"/>
  <c r="J76" i="1"/>
  <c r="J77" i="1"/>
  <c r="J78" i="1"/>
  <c r="J79" i="1"/>
  <c r="J80" i="1"/>
  <c r="J81" i="1"/>
  <c r="J24" i="1"/>
  <c r="J82" i="1"/>
  <c r="J83" i="1"/>
  <c r="J84" i="1"/>
  <c r="J85" i="1"/>
  <c r="J86" i="1"/>
  <c r="J87" i="1"/>
  <c r="J88" i="1"/>
  <c r="J89" i="1"/>
  <c r="J90" i="1"/>
  <c r="J91" i="1"/>
  <c r="J25" i="1"/>
  <c r="J92" i="1"/>
  <c r="J93" i="1"/>
  <c r="J94" i="1"/>
  <c r="J95" i="1"/>
  <c r="J96" i="1"/>
  <c r="J7" i="1"/>
  <c r="J98" i="1"/>
  <c r="J99" i="1"/>
  <c r="J100" i="1"/>
  <c r="J101" i="1"/>
  <c r="J17" i="1"/>
  <c r="J30" i="1"/>
  <c r="J102" i="1"/>
  <c r="J103" i="1"/>
  <c r="J16" i="1"/>
  <c r="F82" i="1"/>
  <c r="F83" i="1"/>
  <c r="F84" i="1"/>
  <c r="F85" i="1"/>
  <c r="F86" i="1"/>
  <c r="F87" i="1"/>
  <c r="F88" i="1"/>
  <c r="F89" i="1"/>
  <c r="C17" i="1"/>
  <c r="C18" i="1"/>
  <c r="C19" i="1"/>
  <c r="C20" i="1"/>
  <c r="C21" i="1"/>
  <c r="C22" i="1"/>
  <c r="C23" i="1"/>
  <c r="C24" i="1"/>
  <c r="C25" i="1"/>
  <c r="C30" i="1"/>
  <c r="C42" i="1"/>
  <c r="C97" i="1"/>
  <c r="C110" i="1"/>
  <c r="C111" i="1"/>
  <c r="C119" i="1"/>
  <c r="C127" i="1"/>
  <c r="C154" i="1"/>
  <c r="C10" i="1"/>
  <c r="C11" i="1"/>
  <c r="C12" i="1"/>
  <c r="C13" i="1"/>
  <c r="C26" i="1"/>
  <c r="C27" i="1"/>
  <c r="C28" i="1"/>
  <c r="C29" i="1"/>
  <c r="C9" i="1"/>
  <c r="C31" i="1"/>
  <c r="C32" i="1"/>
  <c r="C33" i="1"/>
  <c r="C34" i="1"/>
  <c r="C35" i="1"/>
  <c r="C36" i="1"/>
  <c r="C37" i="1"/>
  <c r="C39" i="1"/>
  <c r="C40" i="1"/>
  <c r="C41" i="1"/>
  <c r="C43" i="1"/>
  <c r="C44" i="1"/>
  <c r="C45" i="1"/>
  <c r="C46" i="1"/>
  <c r="C47" i="1"/>
  <c r="C48" i="1"/>
  <c r="C49" i="1"/>
  <c r="C50" i="1"/>
  <c r="C51" i="1"/>
  <c r="C54" i="1"/>
  <c r="C56" i="1"/>
  <c r="C57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7" i="1"/>
  <c r="C98" i="1"/>
  <c r="C99" i="1"/>
  <c r="C100" i="1"/>
  <c r="C101" i="1"/>
  <c r="C102" i="1"/>
  <c r="C103" i="1"/>
  <c r="C104" i="1"/>
  <c r="C105" i="1"/>
  <c r="C106" i="1"/>
  <c r="C107" i="1"/>
  <c r="C108" i="1"/>
  <c r="C120" i="1"/>
  <c r="C5" i="1"/>
  <c r="C4" i="1"/>
  <c r="C112" i="1"/>
  <c r="C113" i="1"/>
  <c r="C114" i="1"/>
  <c r="C115" i="1"/>
  <c r="C116" i="1"/>
  <c r="C117" i="1"/>
  <c r="C118" i="1"/>
  <c r="C8" i="1"/>
  <c r="C141" i="1"/>
  <c r="C121" i="1"/>
  <c r="C122" i="1"/>
  <c r="C123" i="1"/>
  <c r="C124" i="1"/>
  <c r="C125" i="1"/>
  <c r="C126" i="1"/>
  <c r="C6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09" i="1"/>
  <c r="C142" i="1"/>
  <c r="C144" i="1"/>
  <c r="C145" i="1"/>
  <c r="C146" i="1"/>
  <c r="C147" i="1"/>
  <c r="C148" i="1"/>
  <c r="C149" i="1"/>
  <c r="C150" i="1"/>
  <c r="C151" i="1"/>
  <c r="C152" i="1"/>
  <c r="C153" i="1"/>
  <c r="C2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6" i="1"/>
  <c r="F17" i="1"/>
  <c r="F18" i="1"/>
  <c r="F19" i="1"/>
  <c r="F20" i="1"/>
  <c r="F21" i="1"/>
  <c r="F22" i="1"/>
  <c r="F23" i="1"/>
  <c r="F24" i="1"/>
  <c r="F25" i="1"/>
  <c r="F30" i="1"/>
  <c r="F42" i="1"/>
  <c r="F97" i="1"/>
  <c r="F110" i="1"/>
  <c r="F111" i="1"/>
  <c r="F119" i="1"/>
  <c r="F127" i="1"/>
  <c r="F154" i="1"/>
  <c r="F10" i="1"/>
  <c r="F11" i="1"/>
  <c r="F12" i="1"/>
  <c r="F13" i="1"/>
  <c r="F14" i="1"/>
  <c r="F15" i="1"/>
  <c r="F26" i="1"/>
  <c r="F27" i="1"/>
  <c r="F28" i="1"/>
  <c r="F29" i="1"/>
  <c r="F9" i="1"/>
  <c r="F31" i="1"/>
  <c r="F32" i="1"/>
  <c r="F33" i="1"/>
  <c r="F34" i="1"/>
  <c r="F35" i="1"/>
  <c r="F36" i="1"/>
  <c r="F37" i="1"/>
  <c r="F38" i="1"/>
  <c r="F39" i="1"/>
  <c r="F40" i="1"/>
  <c r="F41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90" i="1"/>
  <c r="F91" i="1"/>
  <c r="F92" i="1"/>
  <c r="F93" i="1"/>
  <c r="F94" i="1"/>
  <c r="F95" i="1"/>
  <c r="F96" i="1"/>
  <c r="F16" i="1"/>
</calcChain>
</file>

<file path=xl/sharedStrings.xml><?xml version="1.0" encoding="utf-8"?>
<sst xmlns="http://schemas.openxmlformats.org/spreadsheetml/2006/main" count="1907" uniqueCount="837">
  <si>
    <t>Comment（备注）</t>
  </si>
  <si>
    <t>PeripheralType</t>
  </si>
  <si>
    <t>Direction</t>
  </si>
  <si>
    <t>IOType</t>
  </si>
  <si>
    <t>Pull</t>
  </si>
  <si>
    <t>InitialState</t>
  </si>
  <si>
    <t>UsedFlag</t>
  </si>
  <si>
    <t>SafetyLevel</t>
  </si>
  <si>
    <t>说明 / Notes</t>
  </si>
  <si>
    <t>GPIO</t>
  </si>
  <si>
    <t>Input</t>
  </si>
  <si>
    <t>Digital</t>
  </si>
  <si>
    <t>None</t>
  </si>
  <si>
    <t>Low</t>
  </si>
  <si>
    <t>Yes</t>
  </si>
  <si>
    <t>Normal</t>
  </si>
  <si>
    <t>此工作簿为 TMS320F28377D PTP-176 封装 PinMap 模板。PinMap 页第 2~177 行已预填封装引脚号 1~176，其它信息请参考 TI Datasheet Table 5-1 手工补充 MCU 引脚名等。</t>
  </si>
  <si>
    <t>ADC</t>
  </si>
  <si>
    <t>Output</t>
  </si>
  <si>
    <t>Analog</t>
  </si>
  <si>
    <t>Pull-up</t>
  </si>
  <si>
    <t>High</t>
  </si>
  <si>
    <t>No</t>
  </si>
  <si>
    <t>Critical</t>
  </si>
  <si>
    <t>PWM</t>
  </si>
  <si>
    <t>Bidirectional</t>
  </si>
  <si>
    <t>Power</t>
  </si>
  <si>
    <t>Pull-down</t>
  </si>
  <si>
    <t>Hi-Z</t>
  </si>
  <si>
    <t>Safety-related</t>
  </si>
  <si>
    <t>Analog Input</t>
  </si>
  <si>
    <t>Ground</t>
  </si>
  <si>
    <t>External</t>
  </si>
  <si>
    <t>Don't care</t>
  </si>
  <si>
    <t>Debug only</t>
  </si>
  <si>
    <t>Analog Output</t>
  </si>
  <si>
    <t>Clock</t>
  </si>
  <si>
    <t>Test/JTAG</t>
  </si>
  <si>
    <t>I2C</t>
  </si>
  <si>
    <t>CAN</t>
  </si>
  <si>
    <t>XCLKIN</t>
  </si>
  <si>
    <t>Other</t>
  </si>
  <si>
    <t>GPIO号</t>
    <phoneticPr fontId="2" type="noConversion"/>
  </si>
  <si>
    <t>本项目功能</t>
    <phoneticPr fontId="2" type="noConversion"/>
  </si>
  <si>
    <t>封装标号</t>
    <phoneticPr fontId="2" type="noConversion"/>
  </si>
  <si>
    <t>管脚组</t>
    <phoneticPr fontId="2" type="noConversion"/>
  </si>
  <si>
    <t>PCB 网络名</t>
    <phoneticPr fontId="2" type="noConversion"/>
  </si>
  <si>
    <t>是否使用</t>
    <phoneticPr fontId="2" type="noConversion"/>
  </si>
  <si>
    <t>复用功能</t>
    <phoneticPr fontId="2" type="noConversion"/>
  </si>
  <si>
    <t>SDFM</t>
  </si>
  <si>
    <t>SDFM</t>
    <phoneticPr fontId="2" type="noConversion"/>
  </si>
  <si>
    <t>SPI</t>
    <phoneticPr fontId="2" type="noConversion"/>
  </si>
  <si>
    <t>LED</t>
    <phoneticPr fontId="2" type="noConversion"/>
  </si>
  <si>
    <t>eQEP</t>
    <phoneticPr fontId="2" type="noConversion"/>
  </si>
  <si>
    <t>UNUSED</t>
    <phoneticPr fontId="2" type="noConversion"/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</si>
  <si>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</si>
  <si>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</si>
  <si>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</si>
  <si>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</si>
  <si>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</si>
  <si>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</si>
  <si>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</si>
  <si>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</si>
  <si>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</si>
  <si>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</si>
  <si>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</si>
  <si>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</si>
  <si>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</si>
  <si>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</si>
  <si>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</si>
  <si>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</si>
  <si>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</si>
  <si>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</si>
  <si>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</si>
  <si>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</si>
  <si>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</si>
  <si>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</si>
  <si>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</si>
  <si>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</si>
  <si>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</si>
  <si>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</si>
  <si>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</si>
  <si>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</si>
  <si>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</si>
  <si>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</si>
  <si>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</si>
  <si>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</si>
  <si>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</si>
  <si>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</si>
  <si>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</si>
  <si>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GPIO36</t>
  </si>
  <si>
    <t>GPIO37</t>
  </si>
  <si>
    <t>GPIO38</t>
  </si>
  <si>
    <t>GPIO39</t>
  </si>
  <si>
    <t>GPIO40</t>
  </si>
  <si>
    <t>GPIO41</t>
  </si>
  <si>
    <t>GPIO42</t>
  </si>
  <si>
    <t>GPIO43</t>
  </si>
  <si>
    <t>GPIO44</t>
  </si>
  <si>
    <t>GPIO45</t>
  </si>
  <si>
    <t>GPIO46</t>
  </si>
  <si>
    <t>GPIO47</t>
  </si>
  <si>
    <t>GPIO48</t>
  </si>
  <si>
    <t>GPIO49</t>
  </si>
  <si>
    <t>GPIO50</t>
  </si>
  <si>
    <t>GPIO51</t>
  </si>
  <si>
    <t>GPIO52</t>
  </si>
  <si>
    <t>GPIO53</t>
  </si>
  <si>
    <t>GPIO54</t>
  </si>
  <si>
    <t>GPIO55</t>
  </si>
  <si>
    <t>GPIO56</t>
  </si>
  <si>
    <t>GPIO57</t>
  </si>
  <si>
    <t>GPIO58</t>
  </si>
  <si>
    <t>GPIO59</t>
  </si>
  <si>
    <t>GPIO60</t>
  </si>
  <si>
    <t>GPIO61</t>
  </si>
  <si>
    <t>GPIO62</t>
  </si>
  <si>
    <t>GPIO63</t>
  </si>
  <si>
    <t>GPIO64</t>
  </si>
  <si>
    <t>GPIO65</t>
  </si>
  <si>
    <t>GPIO66</t>
  </si>
  <si>
    <t>GPIO67</t>
  </si>
  <si>
    <t>GPIO68</t>
  </si>
  <si>
    <t>GPIO69</t>
  </si>
  <si>
    <t>GPIO70</t>
  </si>
  <si>
    <t>GPIO71</t>
  </si>
  <si>
    <t>GPIO72</t>
  </si>
  <si>
    <t>GPIO73</t>
  </si>
  <si>
    <t>GPIO74</t>
  </si>
  <si>
    <t>GPIO75</t>
  </si>
  <si>
    <t>GPIO76</t>
  </si>
  <si>
    <t>GPIO77</t>
  </si>
  <si>
    <t>GPIO78</t>
  </si>
  <si>
    <t>GPIO79</t>
  </si>
  <si>
    <t>GPIO80</t>
  </si>
  <si>
    <t>GPIO81</t>
  </si>
  <si>
    <t>GPIO82</t>
  </si>
  <si>
    <t>GPIO83</t>
  </si>
  <si>
    <t>GPIO84</t>
  </si>
  <si>
    <t>GPIO85</t>
  </si>
  <si>
    <t>GPIO86</t>
  </si>
  <si>
    <t>GPIO87</t>
  </si>
  <si>
    <t>GPIO88</t>
  </si>
  <si>
    <t>GPIO89</t>
  </si>
  <si>
    <t>GPIO90</t>
  </si>
  <si>
    <t>GPIO91</t>
  </si>
  <si>
    <t>GPIO92</t>
  </si>
  <si>
    <t>GPIO93</t>
  </si>
  <si>
    <t>GPIO94</t>
  </si>
  <si>
    <t>GPIO95</t>
  </si>
  <si>
    <t>GPIO96</t>
  </si>
  <si>
    <t>GPIO97</t>
  </si>
  <si>
    <t>GPIO98</t>
  </si>
  <si>
    <t>GPIO99</t>
  </si>
  <si>
    <t>GPIO100</t>
  </si>
  <si>
    <t>GPIO101</t>
  </si>
  <si>
    <t>GPIO102</t>
  </si>
  <si>
    <t>GPIO103</t>
  </si>
  <si>
    <t>GPIO104</t>
  </si>
  <si>
    <t>GPIO105</t>
  </si>
  <si>
    <t>GPIO106</t>
  </si>
  <si>
    <t>GPIO107</t>
  </si>
  <si>
    <t>GPIO108</t>
  </si>
  <si>
    <t>GPIO109</t>
  </si>
  <si>
    <t>GPIO110</t>
  </si>
  <si>
    <t>GPIO111</t>
  </si>
  <si>
    <t>GPIO112</t>
  </si>
  <si>
    <t>GPIO113</t>
  </si>
  <si>
    <t>GPIO114</t>
  </si>
  <si>
    <t>GPIO115</t>
  </si>
  <si>
    <t>GPIO116</t>
  </si>
  <si>
    <t>GPIO117</t>
  </si>
  <si>
    <t>GPIO118</t>
  </si>
  <si>
    <t>GPIO119</t>
  </si>
  <si>
    <t>GPIO120</t>
  </si>
  <si>
    <t>GPIO121</t>
  </si>
  <si>
    <t>GPIO122</t>
  </si>
  <si>
    <t>GPIO123</t>
  </si>
  <si>
    <t>GPIO124</t>
  </si>
  <si>
    <t>GPIO125</t>
  </si>
  <si>
    <t>GPIO126</t>
  </si>
  <si>
    <t>GPIO127</t>
  </si>
  <si>
    <t>GPIO128</t>
  </si>
  <si>
    <t>GPIO129</t>
  </si>
  <si>
    <t>GPIO130</t>
  </si>
  <si>
    <t>GPIO131</t>
  </si>
  <si>
    <t>GPIO132</t>
  </si>
  <si>
    <t>GPIO133</t>
  </si>
  <si>
    <t>GPIO134</t>
  </si>
  <si>
    <t>GPIO135</t>
  </si>
  <si>
    <t>GPIO136</t>
  </si>
  <si>
    <t>GPIO137</t>
  </si>
  <si>
    <t>GPIO138</t>
  </si>
  <si>
    <t>GPIO139</t>
  </si>
  <si>
    <t>GPIO140</t>
  </si>
  <si>
    <t>GPIO141</t>
  </si>
  <si>
    <t>GPIO142</t>
  </si>
  <si>
    <t>GPIO143</t>
  </si>
  <si>
    <t>GPIO144</t>
  </si>
  <si>
    <t>GPIO145</t>
  </si>
  <si>
    <t>GPIO146</t>
  </si>
  <si>
    <t>GPIO147</t>
  </si>
  <si>
    <t>GPIO148</t>
  </si>
  <si>
    <t>GPIO149</t>
  </si>
  <si>
    <t>GPIO150</t>
  </si>
  <si>
    <t>GPIO151</t>
  </si>
  <si>
    <t>GPIO152</t>
  </si>
  <si>
    <t>GPIO153</t>
  </si>
  <si>
    <t>GPIO154</t>
  </si>
  <si>
    <t>GPIO155</t>
  </si>
  <si>
    <t>GPIO156</t>
  </si>
  <si>
    <t>GPIO157</t>
  </si>
  <si>
    <t>GPIO158</t>
  </si>
  <si>
    <t>GPIO159</t>
  </si>
  <si>
    <t>GPIO160</t>
  </si>
  <si>
    <t>GPIO161</t>
  </si>
  <si>
    <t>GPIO162</t>
  </si>
  <si>
    <t>GPIO163</t>
  </si>
  <si>
    <t>GPIO164</t>
  </si>
  <si>
    <t>GPIO165</t>
  </si>
  <si>
    <t>GPIO166</t>
  </si>
  <si>
    <t>GPIO167</t>
  </si>
  <si>
    <t>GPIO168</t>
  </si>
  <si>
    <t>GPIO0</t>
    <phoneticPr fontId="2" type="noConversion"/>
  </si>
  <si>
    <t>GPIO1</t>
    <phoneticPr fontId="2" type="noConversion"/>
  </si>
  <si>
    <t>GPIO0</t>
  </si>
  <si>
    <t xml:space="preserve">Mux Selection </t>
    <phoneticPr fontId="2" type="noConversion"/>
  </si>
  <si>
    <t>LED</t>
  </si>
  <si>
    <t>LED1</t>
    <phoneticPr fontId="2" type="noConversion"/>
  </si>
  <si>
    <t>LED2</t>
    <phoneticPr fontId="2" type="noConversion"/>
  </si>
  <si>
    <t>MSDAA</t>
    <phoneticPr fontId="2" type="noConversion"/>
  </si>
  <si>
    <t>MSCLA</t>
    <phoneticPr fontId="2" type="noConversion"/>
  </si>
  <si>
    <t>EtherCAT</t>
    <phoneticPr fontId="2" type="noConversion"/>
  </si>
  <si>
    <t>CLB</t>
    <phoneticPr fontId="2" type="noConversion"/>
  </si>
  <si>
    <t>Hall</t>
    <phoneticPr fontId="2" type="noConversion"/>
  </si>
  <si>
    <t>DSP_B_CAN_TX</t>
    <phoneticPr fontId="2" type="noConversion"/>
  </si>
  <si>
    <t>ADC_CLK_X1</t>
  </si>
  <si>
    <t>ADC_DO_V_1</t>
    <phoneticPr fontId="2" type="noConversion"/>
  </si>
  <si>
    <t>ADC_DO_W_1</t>
    <phoneticPr fontId="2" type="noConversion"/>
  </si>
  <si>
    <t>SPI_A_CK_HS</t>
    <phoneticPr fontId="2" type="noConversion"/>
  </si>
  <si>
    <t>SPI</t>
  </si>
  <si>
    <t>GPIO (0,4,8,12)</t>
  </si>
  <si>
    <t>1</t>
  </si>
  <si>
    <t>2</t>
  </si>
  <si>
    <t>3</t>
  </si>
  <si>
    <t>5</t>
  </si>
  <si>
    <t>6</t>
  </si>
  <si>
    <t>7</t>
  </si>
  <si>
    <t>9</t>
  </si>
  <si>
    <t>10</t>
  </si>
  <si>
    <t>11</t>
  </si>
  <si>
    <t>13</t>
  </si>
  <si>
    <t>14</t>
  </si>
  <si>
    <t>15</t>
  </si>
  <si>
    <t>ALT</t>
  </si>
  <si>
    <t>EPWM1A</t>
  </si>
  <si>
    <t>I2CA_SDA</t>
  </si>
  <si>
    <t>CM-I2CA_SDA</t>
  </si>
  <si>
    <t>ESC_GPI0</t>
  </si>
  <si>
    <t>FSITXA_D0</t>
  </si>
  <si>
    <t>EPWM1B</t>
  </si>
  <si>
    <t>MFSRB</t>
  </si>
  <si>
    <t>I2CA_SCL</t>
  </si>
  <si>
    <t>CM-I2CA_SCL</t>
  </si>
  <si>
    <t>ESC_GPI1</t>
  </si>
  <si>
    <t>FSITXA_D1</t>
  </si>
  <si>
    <t>EPWM2A</t>
  </si>
  <si>
    <t>OUTPUTXBAR1</t>
  </si>
  <si>
    <t>I2CB_SDA</t>
  </si>
  <si>
    <t>ESC_GPI2</t>
  </si>
  <si>
    <t>FSITXA_CLK</t>
  </si>
  <si>
    <t>EPWM2B</t>
  </si>
  <si>
    <t>OUTPUTXBAR2</t>
  </si>
  <si>
    <t>MCLKRB</t>
  </si>
  <si>
    <t>I2CB_SCL</t>
  </si>
  <si>
    <t>ESC_GPI3</t>
  </si>
  <si>
    <t>FSIRXA_D0</t>
  </si>
  <si>
    <t>EPWM3A</t>
  </si>
  <si>
    <t>OUTPUTXBAR3</t>
  </si>
  <si>
    <t>CANA_TX</t>
  </si>
  <si>
    <t>MCAN_TX</t>
  </si>
  <si>
    <t>ESC_GPI4</t>
  </si>
  <si>
    <t>FSIRXA_D1</t>
  </si>
  <si>
    <t>EPWM3B</t>
  </si>
  <si>
    <t>MFSRA</t>
  </si>
  <si>
    <t>CANA_RX</t>
  </si>
  <si>
    <t>MCAN_RX</t>
  </si>
  <si>
    <t>ESC_GPI5</t>
  </si>
  <si>
    <t>FSIRXA_CLK</t>
  </si>
  <si>
    <t>EPWM4A</t>
  </si>
  <si>
    <t>OUTPUTXBAR4</t>
  </si>
  <si>
    <t>EXTSYNCOUT</t>
  </si>
  <si>
    <t>EQEP3_A</t>
  </si>
  <si>
    <t>CANB_TX</t>
  </si>
  <si>
    <t>ESC_GPI6</t>
  </si>
  <si>
    <t>FSITXB_D0</t>
  </si>
  <si>
    <t>EPWM4B</t>
  </si>
  <si>
    <t>MCLKRA</t>
  </si>
  <si>
    <t>OUTPUTXBAR5</t>
  </si>
  <si>
    <t>EQEP3_B</t>
  </si>
  <si>
    <t>CANB_RX</t>
  </si>
  <si>
    <t>ESC_GPI7</t>
  </si>
  <si>
    <t>FSITXB_D1</t>
  </si>
  <si>
    <t>EPWM5A</t>
  </si>
  <si>
    <t>ADCSOCAO</t>
  </si>
  <si>
    <t>EQEP3_STROBE</t>
  </si>
  <si>
    <t>SCIA_TX</t>
  </si>
  <si>
    <t>ESC_GPO0</t>
  </si>
  <si>
    <t>FSITXB_CLK</t>
  </si>
  <si>
    <t>EPWM5B</t>
  </si>
  <si>
    <t>SCIB_TX</t>
  </si>
  <si>
    <t>OUTPUTXBAR6</t>
  </si>
  <si>
    <t>EQEP3_INDEX</t>
  </si>
  <si>
    <t>SCIA_RX</t>
  </si>
  <si>
    <t>ESC_GPO1</t>
  </si>
  <si>
    <t>FSIRXB_D0</t>
  </si>
  <si>
    <t>EPWM6A</t>
  </si>
  <si>
    <t>ADCSOCBO</t>
  </si>
  <si>
    <t>EQEP1_A</t>
  </si>
  <si>
    <t>ESC_GPO2</t>
  </si>
  <si>
    <t>FSIRXB_D1</t>
  </si>
  <si>
    <t>EPWM6B</t>
  </si>
  <si>
    <t>SCIB_RX</t>
  </si>
  <si>
    <t>OUTPUTXBAR7</t>
  </si>
  <si>
    <t>EQEP1_B</t>
  </si>
  <si>
    <t>ESC_GPO3</t>
  </si>
  <si>
    <t>FSIRXB_CLK</t>
  </si>
  <si>
    <t>EPWM7A</t>
  </si>
  <si>
    <t>MDXB</t>
  </si>
  <si>
    <t>EQEP1_STROBE</t>
  </si>
  <si>
    <t>SCIC_TX</t>
  </si>
  <si>
    <t>ESC_GPO4</t>
  </si>
  <si>
    <t>FSIRXC_D0</t>
  </si>
  <si>
    <t>EPWM7B</t>
  </si>
  <si>
    <t>MDRB</t>
  </si>
  <si>
    <t>EQEP1_INDEX</t>
  </si>
  <si>
    <t>SCIC_RX</t>
  </si>
  <si>
    <t>ESC_GPO5</t>
  </si>
  <si>
    <t>FSIRXC_D1</t>
  </si>
  <si>
    <t>EPWM8A</t>
  </si>
  <si>
    <t>MCLKXB</t>
  </si>
  <si>
    <t>ESC_GPO6</t>
  </si>
  <si>
    <t>FSIRXC_CLK</t>
  </si>
  <si>
    <t>EPWM8B</t>
  </si>
  <si>
    <t>MFSXB</t>
  </si>
  <si>
    <t>ESC_GPO7</t>
  </si>
  <si>
    <t>FSIRXD_D0</t>
  </si>
  <si>
    <t>SPIA_SIMO</t>
  </si>
  <si>
    <t>EPWM9A</t>
  </si>
  <si>
    <t>SD1_D1</t>
  </si>
  <si>
    <t>SSIA_TX</t>
  </si>
  <si>
    <t>FSIRXD_D1</t>
  </si>
  <si>
    <t>SPIA_SOMI</t>
  </si>
  <si>
    <t>OUTPUTXBAR8</t>
  </si>
  <si>
    <t>EPWM9B</t>
  </si>
  <si>
    <t>SD1_C1</t>
  </si>
  <si>
    <t>SSIA_RX</t>
  </si>
  <si>
    <t>FSIRXD_CLK</t>
  </si>
  <si>
    <t>SPIA_CLK</t>
  </si>
  <si>
    <t>EPWM10A</t>
  </si>
  <si>
    <t>SD1_D2</t>
  </si>
  <si>
    <t>EMIF1_CS2n</t>
  </si>
  <si>
    <t>SSIA_CLK</t>
  </si>
  <si>
    <t>FSIRXE_D0</t>
  </si>
  <si>
    <t>SPIA_STEn</t>
  </si>
  <si>
    <t>EPWM10B</t>
  </si>
  <si>
    <t>SD1_C2</t>
  </si>
  <si>
    <t>EMIF1_CS3n</t>
  </si>
  <si>
    <t>SSIA_FSS</t>
  </si>
  <si>
    <t>FSIRXE_D1</t>
  </si>
  <si>
    <t>MDXA</t>
  </si>
  <si>
    <t>EPWM11A</t>
  </si>
  <si>
    <t>SD1_D3</t>
  </si>
  <si>
    <t>EMIF1_BA0</t>
  </si>
  <si>
    <t>TRACE_DATA0</t>
  </si>
  <si>
    <t>FSIRXE_CLK</t>
  </si>
  <si>
    <t>SPIC_SIMO</t>
  </si>
  <si>
    <t>MDRA</t>
  </si>
  <si>
    <t>EPWM11B</t>
  </si>
  <si>
    <t>SD1_C3</t>
  </si>
  <si>
    <t>EMIF1_BA1</t>
  </si>
  <si>
    <t>TRACE_DATA1</t>
  </si>
  <si>
    <t>FSIRXF_D0</t>
  </si>
  <si>
    <t>SPIC_SOMI</t>
  </si>
  <si>
    <t>MCLKXA</t>
  </si>
  <si>
    <t>EPWM12A</t>
  </si>
  <si>
    <t>SPIB_CLK</t>
  </si>
  <si>
    <t>SD1_D4</t>
  </si>
  <si>
    <t>EMIF1_RAS</t>
  </si>
  <si>
    <t>TRACE_DATA2</t>
  </si>
  <si>
    <t>FSIRXF_D1</t>
  </si>
  <si>
    <t>SPIC_CLK</t>
  </si>
  <si>
    <t>MFSXA</t>
  </si>
  <si>
    <t>EPWM12B</t>
  </si>
  <si>
    <t>SPIB_STEn</t>
  </si>
  <si>
    <t>SD1_C4</t>
  </si>
  <si>
    <t>EMIF1_CAS</t>
  </si>
  <si>
    <t>TRACE_DATA3</t>
  </si>
  <si>
    <t>FSIRXF_CLK</t>
  </si>
  <si>
    <t>SPIC_STEn</t>
  </si>
  <si>
    <t>EQEP2_A</t>
  </si>
  <si>
    <t>SPIB_SIMO</t>
  </si>
  <si>
    <t>SD2_D1</t>
  </si>
  <si>
    <t>PMBUSA_SCL</t>
  </si>
  <si>
    <t>EMIF1_DQM0</t>
  </si>
  <si>
    <t>TRACE_CLK</t>
  </si>
  <si>
    <t>EPWM13A</t>
  </si>
  <si>
    <t>FSIRXG_D0</t>
  </si>
  <si>
    <t>EQEP2_B</t>
  </si>
  <si>
    <t>SPIB_SOMI</t>
  </si>
  <si>
    <t>SD2_C1</t>
  </si>
  <si>
    <t>PMBUSA_SDA</t>
  </si>
  <si>
    <t>EMIF1_DQM1</t>
  </si>
  <si>
    <t>TRACE_SWO</t>
  </si>
  <si>
    <t>EPWM13B</t>
  </si>
  <si>
    <t>FSIRXG_D1</t>
  </si>
  <si>
    <t>EQEP2_INDEX</t>
  </si>
  <si>
    <t>SD2_D2</t>
  </si>
  <si>
    <t>PMBUSA_ALERT</t>
  </si>
  <si>
    <t>EMIF1_DQM2</t>
  </si>
  <si>
    <t>ESC_MDIO_CLK</t>
  </si>
  <si>
    <t>EPWM14A</t>
  </si>
  <si>
    <t>FSIRXG_CLK</t>
  </si>
  <si>
    <t>EQEP2_STROBE</t>
  </si>
  <si>
    <t>SD2_C2</t>
  </si>
  <si>
    <t>PMBUSA_CTL</t>
  </si>
  <si>
    <t>EMIF1_DQM3</t>
  </si>
  <si>
    <t>ESC_MDIO_DATA</t>
  </si>
  <si>
    <t>EPWM14B</t>
  </si>
  <si>
    <t>FSIRXH_D0</t>
  </si>
  <si>
    <t>EMIF1_CS4n</t>
  </si>
  <si>
    <t>SD2_D3</t>
  </si>
  <si>
    <t>EPWM15A</t>
  </si>
  <si>
    <t>FSIRXH_D1</t>
  </si>
  <si>
    <t>EMIF1_SDCKE</t>
  </si>
  <si>
    <t>SD2_C3</t>
  </si>
  <si>
    <t>ESC_LATCH0</t>
  </si>
  <si>
    <t>ESC_I2C_SDA</t>
  </si>
  <si>
    <t>EPWM15B</t>
  </si>
  <si>
    <t>ESC_SYNC0</t>
  </si>
  <si>
    <t>FSIRXH_CLK</t>
  </si>
  <si>
    <t>EMIF1_CLK</t>
  </si>
  <si>
    <t>SD2_D4</t>
  </si>
  <si>
    <t>ESC_LATCH1</t>
  </si>
  <si>
    <t>ESC_I2C_SCL</t>
  </si>
  <si>
    <t>EPWM16A</t>
  </si>
  <si>
    <t>ESC_SYNC1</t>
  </si>
  <si>
    <t>SPID_SIMO</t>
  </si>
  <si>
    <t>EMIF1_WEn</t>
  </si>
  <si>
    <t>SD2_C4</t>
  </si>
  <si>
    <t>EMIF1_RNW</t>
  </si>
  <si>
    <t>EPWM16B</t>
  </si>
  <si>
    <t>SPID_SOMI</t>
  </si>
  <si>
    <t>EMIF1_CS0n</t>
  </si>
  <si>
    <t>CLB_OUTPUTXBAR1</t>
  </si>
  <si>
    <t>EMIF1_OEn</t>
  </si>
  <si>
    <t>SPID_CLK</t>
  </si>
  <si>
    <t>CLB_OUTPUTXBAR2</t>
  </si>
  <si>
    <t>SPID_STEn</t>
  </si>
  <si>
    <t>CLB_OUTPUTXBAR3</t>
  </si>
  <si>
    <t>ENET_MII_CRS</t>
  </si>
  <si>
    <t>CLB_OUTPUTXBAR4</t>
  </si>
  <si>
    <t>EMIF1_A0</t>
  </si>
  <si>
    <t>ENET_MII_COL</t>
  </si>
  <si>
    <t>EMIF1_WAIT</t>
  </si>
  <si>
    <t>CLB_OUTPUTXBAR5</t>
  </si>
  <si>
    <t>EMIF1_A1</t>
  </si>
  <si>
    <t>CLB_OUTPUTXBAR6</t>
  </si>
  <si>
    <t>EMIF1_A2</t>
  </si>
  <si>
    <t>CLB_OUTPUTXBAR7</t>
  </si>
  <si>
    <t>EMIF1_A3</t>
  </si>
  <si>
    <t>ENET_MII_RX_DV</t>
  </si>
  <si>
    <t>CLB_OUTPUTXBAR8</t>
  </si>
  <si>
    <t>EMIF1_A4</t>
  </si>
  <si>
    <t>ENET_MII_RX_ERR</t>
  </si>
  <si>
    <t>ENET_REVMII_MDIO_RST</t>
  </si>
  <si>
    <t>ENET_MDIO_CLK</t>
  </si>
  <si>
    <t>UARTA_TX</t>
  </si>
  <si>
    <t>USB0DM</t>
  </si>
  <si>
    <t>ENET_MDIO_DATA</t>
  </si>
  <si>
    <t>UARTA_RX</t>
  </si>
  <si>
    <t>USB0DP</t>
  </si>
  <si>
    <t>ENET_MII_TX_CLK</t>
  </si>
  <si>
    <t>ESC_TX1_CLK</t>
  </si>
  <si>
    <t>EMIF1_A5</t>
  </si>
  <si>
    <t>ENET_MII_TX_EN</t>
  </si>
  <si>
    <t>ESC_TX1_ENA</t>
  </si>
  <si>
    <t>EMIF1_A6</t>
  </si>
  <si>
    <t>SCID_RX</t>
  </si>
  <si>
    <t>ENET_MII_TX_ERR</t>
  </si>
  <si>
    <t>EMIF1_A7</t>
  </si>
  <si>
    <t>SCID_TX</t>
  </si>
  <si>
    <t>ENET_PPS0</t>
  </si>
  <si>
    <t>EMIF1_A8</t>
  </si>
  <si>
    <t>ENET_PPS1</t>
  </si>
  <si>
    <t>ESC_PHY_CLK</t>
  </si>
  <si>
    <t>EMIF1_A9</t>
  </si>
  <si>
    <t>ENET_MII_RX_CLK</t>
  </si>
  <si>
    <t>EMIF1_A10</t>
  </si>
  <si>
    <t>EMIF1_A11</t>
  </si>
  <si>
    <t>EMIF1_A12</t>
  </si>
  <si>
    <t>ENET_MII_RX_DATA0</t>
  </si>
  <si>
    <t>EMIF1_D31</t>
  </si>
  <si>
    <t>EMIF2_D15</t>
  </si>
  <si>
    <t>ENET_MII_RX_DATA1</t>
  </si>
  <si>
    <t>EMIF1_D30</t>
  </si>
  <si>
    <t>EMIF2_D14</t>
  </si>
  <si>
    <t>ENET_MII_RX_DATA2</t>
  </si>
  <si>
    <t>EMIF1_D29</t>
  </si>
  <si>
    <t>EMIF2_D13</t>
  </si>
  <si>
    <t>EMIF1_D0</t>
  </si>
  <si>
    <t>ENET_MII_RX_DATA3</t>
  </si>
  <si>
    <t>EMIF1_D28</t>
  </si>
  <si>
    <t>EMIF2_D12</t>
  </si>
  <si>
    <t>EMIF1_D1</t>
  </si>
  <si>
    <t>EMIF1_D27</t>
  </si>
  <si>
    <t>EMIF2_D11</t>
  </si>
  <si>
    <t>EMIF1_D2</t>
  </si>
  <si>
    <t>EMIF1_D26</t>
  </si>
  <si>
    <t>EMIF2_D10</t>
  </si>
  <si>
    <t>EMIF1_D3</t>
  </si>
  <si>
    <t>ESC_LED_LINK0_ACTIVE</t>
  </si>
  <si>
    <t>EMIF1_D25</t>
  </si>
  <si>
    <t>EMIF2_D9</t>
  </si>
  <si>
    <t>EMIF1_D4</t>
  </si>
  <si>
    <t>ESC_LED_LINK1_ACTIVE</t>
  </si>
  <si>
    <t>ENET_MII_TX_DATA0</t>
  </si>
  <si>
    <t>EMIF1_D24</t>
  </si>
  <si>
    <t>EMIF2_D8</t>
  </si>
  <si>
    <t>EMIF1_D5</t>
  </si>
  <si>
    <t>ESC_LED_ERR</t>
  </si>
  <si>
    <t>ENET_MII_TX_DATA1</t>
  </si>
  <si>
    <t>EMIF1_D23</t>
  </si>
  <si>
    <t>EMIF2_D7</t>
  </si>
  <si>
    <t>EMIF1_D6</t>
  </si>
  <si>
    <t>ESC_LED_RUN</t>
  </si>
  <si>
    <t>ENET_MII_TX_DATA2</t>
  </si>
  <si>
    <t>EMIF1_D22</t>
  </si>
  <si>
    <t>EMIF2_D6</t>
  </si>
  <si>
    <t>EMIF1_D7</t>
  </si>
  <si>
    <t>ESC_LED_STATE_RUN</t>
  </si>
  <si>
    <t>ENET_MII_TX_DATA3</t>
  </si>
  <si>
    <t>EMIF1_D21</t>
  </si>
  <si>
    <t>EMIF2_D5</t>
  </si>
  <si>
    <t>ESC_RX1_DATA0</t>
  </si>
  <si>
    <t>EMIF1_D20</t>
  </si>
  <si>
    <t>EMIF2_D4</t>
  </si>
  <si>
    <t>ESC_RX1_DATA1</t>
  </si>
  <si>
    <t>EMIF1_D19</t>
  </si>
  <si>
    <t>EMIF2_D3</t>
  </si>
  <si>
    <t>ESC_RX1_DATA2</t>
  </si>
  <si>
    <t>EMIF1_D18</t>
  </si>
  <si>
    <t>EMIF2_D2</t>
  </si>
  <si>
    <t>ESC_RX1_DATA3</t>
  </si>
  <si>
    <t>EMIF1_D17</t>
  </si>
  <si>
    <t>EMIF2_D1</t>
  </si>
  <si>
    <t>EMIF1_D16</t>
  </si>
  <si>
    <t>EMIF2_D0</t>
  </si>
  <si>
    <t>ENET_MII_INTR</t>
  </si>
  <si>
    <t>ESC_PHY1_LINKSTATUS</t>
  </si>
  <si>
    <t>EMIF1_D15</t>
  </si>
  <si>
    <t>ESC_RX1_CLK</t>
  </si>
  <si>
    <t>EMIF1_D14</t>
  </si>
  <si>
    <t>ESC_RX1_DV</t>
  </si>
  <si>
    <t>EMIF1_D13</t>
  </si>
  <si>
    <t>ESC_RX1_ERR</t>
  </si>
  <si>
    <t>EMIF1_D12</t>
  </si>
  <si>
    <t>ESC_TX1_DATA3</t>
  </si>
  <si>
    <t>EMIF1_D11</t>
  </si>
  <si>
    <t>XCLKOUT</t>
  </si>
  <si>
    <t>ENET_RMII_CLK</t>
  </si>
  <si>
    <t>ESC_TX1_DATA2</t>
  </si>
  <si>
    <t>EMIF1_D10</t>
  </si>
  <si>
    <t>ESC_TX1_DATA1</t>
  </si>
  <si>
    <t>EMIF1_D9</t>
  </si>
  <si>
    <t>ESC_TX1_DATA0</t>
  </si>
  <si>
    <t>EMIF1_D8</t>
  </si>
  <si>
    <t>ESC_PHY_RESETn</t>
  </si>
  <si>
    <t>ESC_RX0_CLK</t>
  </si>
  <si>
    <t>ESC_RX0_DV</t>
  </si>
  <si>
    <t>ESC_RX0_ERR</t>
  </si>
  <si>
    <t>ESC_RX0_DATA0</t>
  </si>
  <si>
    <t>ESC_RX0_DATA1</t>
  </si>
  <si>
    <t>ESC_RX0_DATA2</t>
  </si>
  <si>
    <t>ESC_RX0_DATA3</t>
  </si>
  <si>
    <t>ESC_TX0_ENA</t>
  </si>
  <si>
    <t>ESC_TX0_CLK</t>
  </si>
  <si>
    <t>EMIF1_A13</t>
  </si>
  <si>
    <t>ESC_PHY0_LINKSTATUS</t>
  </si>
  <si>
    <t>EMIF1_A14</t>
  </si>
  <si>
    <t>ESC_TX0_DATA0</t>
  </si>
  <si>
    <t>EMIF1_A15</t>
  </si>
  <si>
    <t>ESC_TX0_DATA1</t>
  </si>
  <si>
    <t>EMIF1_A16</t>
  </si>
  <si>
    <t>ESC_TX0_DATA2</t>
  </si>
  <si>
    <t>EMIF1_A17</t>
  </si>
  <si>
    <t>ESC_TX0_DATA3</t>
  </si>
  <si>
    <t>EMIF1_A18</t>
  </si>
  <si>
    <t>EMIF1_A19</t>
  </si>
  <si>
    <t>EMIF2_A12</t>
  </si>
  <si>
    <t>EMIF2_DQM1</t>
  </si>
  <si>
    <t>EMIF2_DQM0</t>
  </si>
  <si>
    <t>EMIF2_A0</t>
  </si>
  <si>
    <t>EMIF2_A1</t>
  </si>
  <si>
    <t>EMIF2_A2</t>
  </si>
  <si>
    <t>EMIF2_A3</t>
  </si>
  <si>
    <t>EMIF2_A4</t>
  </si>
  <si>
    <t>EMIF2_A5</t>
  </si>
  <si>
    <t>EMIF2_A6</t>
  </si>
  <si>
    <t>EMIF2_A7</t>
  </si>
  <si>
    <t>EMIF2_A8</t>
  </si>
  <si>
    <t>EMIF2_A9</t>
  </si>
  <si>
    <t>EMIF2_A10</t>
  </si>
  <si>
    <t>ESC_GPI8</t>
  </si>
  <si>
    <t>EMIF2_A11</t>
  </si>
  <si>
    <t>ESC_GPI9</t>
  </si>
  <si>
    <t>EMIF2_WAIT</t>
  </si>
  <si>
    <t>ESC_GPI10</t>
  </si>
  <si>
    <t>EMIF2_BA0</t>
  </si>
  <si>
    <t>ESC_GPI11</t>
  </si>
  <si>
    <t>EMIF2_BA1</t>
  </si>
  <si>
    <t>ESC_GPI12</t>
  </si>
  <si>
    <t>EMIF2_CAS</t>
  </si>
  <si>
    <t>ESC_GPI13</t>
  </si>
  <si>
    <t>EMIF2_RAS</t>
  </si>
  <si>
    <t>ESC_GPI14</t>
  </si>
  <si>
    <t>EMIF2_CS0n</t>
  </si>
  <si>
    <t>ESC_GPI15</t>
  </si>
  <si>
    <t>EMIF2_CS2n</t>
  </si>
  <si>
    <t>ESC_GPI16</t>
  </si>
  <si>
    <t>EMIF2_SDCKE</t>
  </si>
  <si>
    <t>ESC_GPI17</t>
  </si>
  <si>
    <t>EMIF2_CLK</t>
  </si>
  <si>
    <t>ESC_GPI18</t>
  </si>
  <si>
    <t>EMIF2_RNW</t>
  </si>
  <si>
    <t>ESC_GPI19</t>
  </si>
  <si>
    <t>EMIF2_WEn</t>
  </si>
  <si>
    <t>ESC_GPI20</t>
  </si>
  <si>
    <t>EMIF2_OEn</t>
  </si>
  <si>
    <t>ESC_GPI21</t>
  </si>
  <si>
    <t>ESC_GPI22</t>
  </si>
  <si>
    <t>ESC_GPI23</t>
  </si>
  <si>
    <t>ESC_GPI24</t>
  </si>
  <si>
    <t>ESC_GPI25</t>
  </si>
  <si>
    <t>ESC_GPI26</t>
  </si>
  <si>
    <t>ESC_GPI27</t>
  </si>
  <si>
    <t>ESC_GPI28</t>
  </si>
  <si>
    <t>ESC_GPI29</t>
  </si>
  <si>
    <t>ESC_GPI30</t>
  </si>
  <si>
    <t>ESC_GPI31</t>
  </si>
  <si>
    <t>AUXCLKIN</t>
  </si>
  <si>
    <t>ESC_GPO8</t>
  </si>
  <si>
    <t>ESC_GPO9</t>
  </si>
  <si>
    <t>ESC_GPO10</t>
  </si>
  <si>
    <t>ESC_GPO11</t>
  </si>
  <si>
    <t>ESC_GPO12</t>
  </si>
  <si>
    <t>ESC_GPO13</t>
  </si>
  <si>
    <t>ESC_GPO14</t>
  </si>
  <si>
    <t>ESC_GPO15</t>
  </si>
  <si>
    <t>ESC_GPO16</t>
  </si>
  <si>
    <t>ESC_GPO17</t>
  </si>
  <si>
    <t>ESC_GPO18</t>
  </si>
  <si>
    <t>ESC_GPO19</t>
  </si>
  <si>
    <t>ESC_GPO20</t>
  </si>
  <si>
    <t>ESC_GPO21</t>
  </si>
  <si>
    <t>ESC_GPO22</t>
  </si>
  <si>
    <t>ESC_GPO23</t>
  </si>
  <si>
    <t>ESC_GPO24</t>
  </si>
  <si>
    <t>ESC_GPO25</t>
  </si>
  <si>
    <t>ESC_GPO26</t>
  </si>
  <si>
    <t>ESC_GPO27</t>
  </si>
  <si>
    <t>ESC_GPO28</t>
  </si>
  <si>
    <t>ESC_GPO29</t>
  </si>
  <si>
    <t>ESC_GPO30</t>
  </si>
  <si>
    <t>ESC_GPO31</t>
  </si>
  <si>
    <t>eQEP</t>
  </si>
  <si>
    <t>DSP-PWM1A</t>
    <phoneticPr fontId="2" type="noConversion"/>
  </si>
  <si>
    <t>DSP-PWM1B</t>
    <phoneticPr fontId="2" type="noConversion"/>
  </si>
  <si>
    <t>DSP-PWM2A</t>
  </si>
  <si>
    <t>DSP-PWM2B</t>
  </si>
  <si>
    <t>DSP-PWM3A</t>
  </si>
  <si>
    <t>DSP-PWM3B</t>
  </si>
  <si>
    <t>DSP-PWM4A</t>
  </si>
  <si>
    <t>DSP-PWM4B</t>
  </si>
  <si>
    <t>DSP-PWM5A</t>
  </si>
  <si>
    <t>DSP-PWM5B</t>
  </si>
  <si>
    <t>DSP-PWM6A</t>
  </si>
  <si>
    <t>DSP-PWM6B</t>
  </si>
  <si>
    <t>DSP_A_CAN_TX</t>
  </si>
  <si>
    <t>SPI_A_MO_HS</t>
    <phoneticPr fontId="2" type="noConversion"/>
  </si>
  <si>
    <t>SPI_A_MI_HS</t>
    <phoneticPr fontId="2" type="noConversion"/>
  </si>
  <si>
    <t>~{SPI_A_STE_HS}</t>
    <phoneticPr fontId="2" type="noConversion"/>
  </si>
  <si>
    <t>EtherCAT</t>
  </si>
  <si>
    <t>ESC_PHY0</t>
  </si>
  <si>
    <t>ESC_TX0_EN</t>
  </si>
  <si>
    <t>ESC_TX0_D1</t>
  </si>
  <si>
    <t>ESC_TX0_D2</t>
  </si>
  <si>
    <t>ESC_TX0_D3</t>
  </si>
  <si>
    <t>ESC_RX0_D0</t>
  </si>
  <si>
    <t>ESC_RX0_D1</t>
  </si>
  <si>
    <t>ESC_RX0_D2</t>
  </si>
  <si>
    <t>ESC_RX0_D3</t>
    <phoneticPr fontId="2" type="noConversion"/>
  </si>
  <si>
    <t>ESC_TX1_D2</t>
    <phoneticPr fontId="2" type="noConversion"/>
  </si>
  <si>
    <t>ESC_TX1_D3</t>
    <phoneticPr fontId="2" type="noConversion"/>
  </si>
  <si>
    <t>ESC_TX1_D0</t>
    <phoneticPr fontId="2" type="noConversion"/>
  </si>
  <si>
    <t>ESC_TX1_D1</t>
    <phoneticPr fontId="2" type="noConversion"/>
  </si>
  <si>
    <t>ESC_TX0_D0</t>
    <phoneticPr fontId="2" type="noConversion"/>
  </si>
  <si>
    <t>ESC_TX0_CLK</t>
    <phoneticPr fontId="2" type="noConversion"/>
  </si>
  <si>
    <t>ESC_RX1_D3</t>
    <phoneticPr fontId="2" type="noConversion"/>
  </si>
  <si>
    <t>ESC_RX1_D2</t>
    <phoneticPr fontId="2" type="noConversion"/>
  </si>
  <si>
    <t>ESC_RX1_D1</t>
    <phoneticPr fontId="2" type="noConversion"/>
  </si>
  <si>
    <t>ESC_RX1_D0</t>
    <phoneticPr fontId="2" type="noConversion"/>
  </si>
  <si>
    <t>ESC_RX1_ERR</t>
    <phoneticPr fontId="2" type="noConversion"/>
  </si>
  <si>
    <t>ESC_RX1_DV</t>
    <phoneticPr fontId="2" type="noConversion"/>
  </si>
  <si>
    <t>ESC_RX1_CLK</t>
    <phoneticPr fontId="2" type="noConversion"/>
  </si>
  <si>
    <t>ESC_RX0_ERR</t>
    <phoneticPr fontId="2" type="noConversion"/>
  </si>
  <si>
    <t>ESC_RESET</t>
  </si>
  <si>
    <t>ESC_LED_LINK0</t>
    <phoneticPr fontId="2" type="noConversion"/>
  </si>
  <si>
    <t>ESC_LED_LINK1</t>
    <phoneticPr fontId="2" type="noConversion"/>
  </si>
  <si>
    <t>序号</t>
    <phoneticPr fontId="2" type="noConversion"/>
  </si>
  <si>
    <t>ESC_TX1_CLK</t>
    <phoneticPr fontId="2" type="noConversion"/>
  </si>
  <si>
    <t>ESC_TX1_EN</t>
    <phoneticPr fontId="2" type="noConversion"/>
  </si>
  <si>
    <t>ESC_MDC</t>
  </si>
  <si>
    <t>ESC_MDIO</t>
    <phoneticPr fontId="2" type="noConversion"/>
  </si>
  <si>
    <t>ESC_PHY1</t>
    <phoneticPr fontId="2" type="noConversion"/>
  </si>
  <si>
    <t>ADC_A0</t>
    <phoneticPr fontId="2" type="noConversion"/>
  </si>
  <si>
    <t>ADC_A1</t>
  </si>
  <si>
    <t>ADC_A2</t>
  </si>
  <si>
    <t>ADC_A3</t>
  </si>
  <si>
    <t>ADC_A4</t>
  </si>
  <si>
    <t>ADC_A5</t>
  </si>
  <si>
    <t>ADC_B0</t>
    <phoneticPr fontId="2" type="noConversion"/>
  </si>
  <si>
    <t>ADC_B1</t>
  </si>
  <si>
    <t>ADC_B2</t>
  </si>
  <si>
    <t>ADC_B3</t>
  </si>
  <si>
    <t>ADC_B4</t>
  </si>
  <si>
    <t>ADC_B5</t>
  </si>
  <si>
    <t>ADC_C2</t>
    <phoneticPr fontId="2" type="noConversion"/>
  </si>
  <si>
    <t>ADC_C3</t>
  </si>
  <si>
    <t>ADC_C4</t>
  </si>
  <si>
    <t>ADC_C5</t>
  </si>
  <si>
    <t>ADC_D1</t>
    <phoneticPr fontId="2" type="noConversion"/>
  </si>
  <si>
    <t>ADC_D2</t>
  </si>
  <si>
    <t>ADC_D3</t>
  </si>
  <si>
    <t>ADC_D4</t>
  </si>
  <si>
    <t>ADC_D5</t>
  </si>
  <si>
    <t>MSCLB</t>
    <phoneticPr fontId="2" type="noConversion"/>
  </si>
  <si>
    <t>MSDAB</t>
    <phoneticPr fontId="2" type="noConversion"/>
  </si>
  <si>
    <t>SPI_D_MO_HS</t>
    <phoneticPr fontId="2" type="noConversion"/>
  </si>
  <si>
    <t>SPI_D_MI_HS</t>
  </si>
  <si>
    <t>~{SPI_D_STE_HS}</t>
  </si>
  <si>
    <t>SPI_D_CK_HS</t>
    <phoneticPr fontId="2" type="noConversion"/>
  </si>
  <si>
    <t>SPI_B_MO</t>
    <phoneticPr fontId="2" type="noConversion"/>
  </si>
  <si>
    <t>SPI_B_MI</t>
    <phoneticPr fontId="2" type="noConversion"/>
  </si>
  <si>
    <t>~{SPI_B_STE}</t>
  </si>
  <si>
    <t>SPI_B_CK</t>
  </si>
  <si>
    <t>DSP-PWM7B</t>
  </si>
  <si>
    <t>DSP-PWM8B</t>
  </si>
  <si>
    <t>DSP-PWM9B</t>
  </si>
  <si>
    <t>DSP-PWM7A</t>
  </si>
  <si>
    <t>DSP-PWM8A</t>
  </si>
  <si>
    <t>DSP-PWM9A</t>
  </si>
  <si>
    <t>DSP-PWM10A</t>
  </si>
  <si>
    <t>DSP-PWM10B</t>
  </si>
  <si>
    <t>DSP-PWM11A</t>
  </si>
  <si>
    <t>DSP-PWM11B</t>
  </si>
  <si>
    <t>DSP-PWM12A</t>
  </si>
  <si>
    <t>DSP-PWM12B</t>
  </si>
  <si>
    <t>SCI</t>
  </si>
  <si>
    <t>SCI</t>
    <phoneticPr fontId="2" type="noConversion"/>
  </si>
  <si>
    <t>核心板</t>
  </si>
  <si>
    <t>核心板</t>
    <phoneticPr fontId="2" type="noConversion"/>
  </si>
  <si>
    <t>DSP_B_CAN_RX</t>
  </si>
  <si>
    <t>DSP_A_CAN_RX</t>
  </si>
  <si>
    <t>CAN</t>
    <phoneticPr fontId="2" type="noConversion"/>
  </si>
  <si>
    <t>DSP_B_CAN_EN</t>
    <phoneticPr fontId="2" type="noConversion"/>
  </si>
  <si>
    <t>DSP_A_CAN_EN</t>
    <phoneticPr fontId="2" type="noConversion"/>
  </si>
  <si>
    <t>SPI_C_MO</t>
    <phoneticPr fontId="2" type="noConversion"/>
  </si>
  <si>
    <t>SPI_C_MI</t>
    <phoneticPr fontId="2" type="noConversion"/>
  </si>
  <si>
    <t>SPI_C_CK</t>
    <phoneticPr fontId="2" type="noConversion"/>
  </si>
  <si>
    <t>~{SPI_C_STE}</t>
    <phoneticPr fontId="2" type="noConversion"/>
  </si>
  <si>
    <t>底板</t>
    <phoneticPr fontId="2" type="noConversion"/>
  </si>
  <si>
    <t>DI-2-DSP-3.3V</t>
    <phoneticPr fontId="2" type="noConversion"/>
  </si>
  <si>
    <t>ADC_DO_V_2</t>
    <phoneticPr fontId="2" type="noConversion"/>
  </si>
  <si>
    <t>ADC_DO_W_2</t>
    <phoneticPr fontId="2" type="noConversion"/>
  </si>
  <si>
    <t>ADC_CLK_X2</t>
    <phoneticPr fontId="2" type="noConversion"/>
  </si>
  <si>
    <t>MQEP2A</t>
    <phoneticPr fontId="2" type="noConversion"/>
  </si>
  <si>
    <t>MQEP2B</t>
    <phoneticPr fontId="2" type="noConversion"/>
  </si>
  <si>
    <t>MQEP2Z</t>
    <phoneticPr fontId="2" type="noConversion"/>
  </si>
  <si>
    <t>核心板for电压监测</t>
    <phoneticPr fontId="2" type="noConversion"/>
  </si>
  <si>
    <t>ADC_DO_W_4</t>
  </si>
  <si>
    <t>ADC_DO_W_3</t>
    <phoneticPr fontId="2" type="noConversion"/>
  </si>
  <si>
    <t>ADC_DO_U_2/ADC_DO_V_4</t>
    <phoneticPr fontId="2" type="noConversion"/>
  </si>
  <si>
    <t>ADC_DO_U_1/ADC_DO_V_3</t>
    <phoneticPr fontId="2" type="noConversion"/>
  </si>
  <si>
    <t>逆变器4</t>
  </si>
  <si>
    <t>逆变器4</t>
    <phoneticPr fontId="2" type="noConversion"/>
  </si>
  <si>
    <t>逆变器3</t>
    <phoneticPr fontId="2" type="noConversion"/>
  </si>
  <si>
    <t>DSP_Discharge1_EN</t>
    <phoneticPr fontId="2" type="noConversion"/>
  </si>
  <si>
    <t>DSP_Discharge4_EN</t>
    <phoneticPr fontId="2" type="noConversion"/>
  </si>
  <si>
    <t>DSP_PWM1_~{FAULT}</t>
    <phoneticPr fontId="2" type="noConversion"/>
  </si>
  <si>
    <t>DSP_PWM4_~{FAULT}</t>
    <phoneticPr fontId="2" type="noConversion"/>
  </si>
  <si>
    <t>DSP_Temperature2</t>
  </si>
  <si>
    <t>DSP_Temperature4</t>
    <phoneticPr fontId="2" type="noConversion"/>
  </si>
  <si>
    <t>HALL1_UY</t>
    <phoneticPr fontId="2" type="noConversion"/>
  </si>
  <si>
    <t>HALL1_WY</t>
    <phoneticPr fontId="2" type="noConversion"/>
  </si>
  <si>
    <t>MCU_485D_1</t>
    <phoneticPr fontId="2" type="noConversion"/>
  </si>
  <si>
    <t>MCU_485R_1</t>
    <phoneticPr fontId="2" type="noConversion"/>
  </si>
  <si>
    <t>485_RTS_1</t>
    <phoneticPr fontId="2" type="noConversion"/>
  </si>
  <si>
    <t>485_RTS_2</t>
    <phoneticPr fontId="2" type="noConversion"/>
  </si>
  <si>
    <t>MCU_485D_2</t>
    <phoneticPr fontId="2" type="noConversion"/>
  </si>
  <si>
    <t>MCU_485R_2</t>
    <phoneticPr fontId="2" type="noConversion"/>
  </si>
  <si>
    <t>HALL1_VY</t>
    <phoneticPr fontId="2" type="noConversion"/>
  </si>
  <si>
    <t>485_RTS_4</t>
    <phoneticPr fontId="2" type="noConversion"/>
  </si>
  <si>
    <t>MCU_485D_4</t>
    <phoneticPr fontId="2" type="noConversion"/>
  </si>
  <si>
    <t>MCU_485R_4</t>
    <phoneticPr fontId="2" type="noConversion"/>
  </si>
  <si>
    <t>MCU_485D_3</t>
    <phoneticPr fontId="2" type="noConversion"/>
  </si>
  <si>
    <t>MCU_485R_3</t>
    <phoneticPr fontId="2" type="noConversion"/>
  </si>
  <si>
    <t>DSP_Temperature1</t>
    <phoneticPr fontId="2" type="noConversion"/>
  </si>
  <si>
    <t>DSP_Discharge2_EN</t>
    <phoneticPr fontId="2" type="noConversion"/>
  </si>
  <si>
    <t>MQEP1Z</t>
    <phoneticPr fontId="2" type="noConversion"/>
  </si>
  <si>
    <t>Hall</t>
  </si>
  <si>
    <t>HALL2_U</t>
    <phoneticPr fontId="2" type="noConversion"/>
  </si>
  <si>
    <t>HALL2_V</t>
    <phoneticPr fontId="2" type="noConversion"/>
  </si>
  <si>
    <t>HALL2_W</t>
    <phoneticPr fontId="2" type="noConversion"/>
  </si>
  <si>
    <t>DSP_PWM2~{_ENABLE}</t>
    <phoneticPr fontId="2" type="noConversion"/>
  </si>
  <si>
    <t>DSP_PWM2_~{FAULT}</t>
    <phoneticPr fontId="2" type="noConversion"/>
  </si>
  <si>
    <t>eQEP</t>
    <phoneticPr fontId="2" type="noConversion"/>
  </si>
  <si>
    <t>MQEP1B</t>
    <phoneticPr fontId="2" type="noConversion"/>
  </si>
  <si>
    <t>MQEP1A</t>
    <phoneticPr fontId="2" type="noConversion"/>
  </si>
  <si>
    <t>DSP_Discharge3_EN</t>
    <phoneticPr fontId="2" type="noConversion"/>
  </si>
  <si>
    <t>DSP_PWM3~{_ENABLE}</t>
    <phoneticPr fontId="2" type="noConversion"/>
  </si>
  <si>
    <t>DSP_PWM3_~{FAULT}</t>
    <phoneticPr fontId="2" type="noConversion"/>
  </si>
  <si>
    <t>DSP_Temperature3</t>
    <phoneticPr fontId="2" type="noConversion"/>
  </si>
  <si>
    <t>DSP_PWM4~{_ENABLE}</t>
    <phoneticPr fontId="2" type="noConversion"/>
  </si>
  <si>
    <t>DI-1-DSP-3.3V</t>
    <phoneticPr fontId="2" type="noConversion"/>
  </si>
  <si>
    <t>DSP_PWM1~{_ENABLE}</t>
    <phoneticPr fontId="2" type="noConversion"/>
  </si>
  <si>
    <t>GPIO154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</si>
</sst>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91"/>
  <sheetViews>
    <sheetView tabSelected="1" zoomScale="115" zoomScaleNormal="115" workbookViewId="0">
      <pane ySplit="1" topLeftCell="A2" activePane="bottomLeft" state="frozen"/>
      <selection pane="bottomLeft" activeCell="D1" sqref="D1"/>
    </sheetView>
  </sheetViews>
  <sheetFormatPr defaultRowHeight="13.5" x14ac:dyDescent="0.15"/>
  <cols>
    <col min="1" max="1" width="10.875" customWidth="1"/>
    <col min="2" max="2" width="20.75" customWidth="1"/>
    <col min="3" max="3" width="19.625" customWidth="1"/>
    <col min="4" max="4" width="13.625" customWidth="1"/>
    <col min="5" max="5" width="24.625" customWidth="1"/>
    <col min="6" max="6" width="12" customWidth="1"/>
    <col min="7" max="7" width="18.125" customWidth="1"/>
    <col min="8" max="8" width="9.375" customWidth="1"/>
  </cols>
  <sheetData>
    <row r="1" spans="1:10" x14ac:dyDescent="0.15">
      <c r="A1" s="1" t="s">
        <v>42</v>
      </c>
      <c r="B1" s="1" t="s">
        <v>48</v>
      </c>
      <c r="C1" s="1" t="s">
        <v>226</v>
      </c>
      <c r="D1" s="1" t="s">
        <v>43</v>
      </c>
      <c r="E1" s="1" t="s">
        <v>46</v>
      </c>
      <c r="F1" s="1" t="s">
        <v>47</v>
      </c>
      <c r="G1" s="1" t="s">
        <v>0</v>
      </c>
      <c r="H1" s="1" t="s">
        <v>45</v>
      </c>
      <c r="I1" s="1" t="s">
        <v>44</v>
      </c>
      <c r="J1" s="1" t="s">
        <v>719</v>
      </c>
    </row>
    <row r="2" spans="1:10" hidden="1" x14ac:dyDescent="0.15">
      <c r="A2" t="s">
        <v>206</v>
      </c>
      <c r="B2" s="2"/>
      <c r="C2" s="2" t="str">
        <f>IFERROR(
  INDEX(Sheet1!$B$1:$N$1,
    MATCH(B2,
      INDEX(Sheet1!$B$2:$N$170,
        MATCH($A2,Sheet1!$A$2:$A$170,0),
        0
      ),
      0
    )
  ),
  ""
)</f>
        <v/>
      </c>
      <c r="D2" t="s">
        <v>9</v>
      </c>
      <c r="E2" t="s">
        <v>799</v>
      </c>
      <c r="F2" t="str">
        <f t="shared" ref="F2:F33" si="0">IF(E2&lt;&gt;"","Yes","No")</f>
        <v>Yes</v>
      </c>
      <c r="J2">
        <f t="shared" ref="J2:J33" si="1">IFERROR(VALUE(SUBSTITUTE(SUBSTITUTE(A2,"GPIO",""),"号","")),"")</f>
        <v>152</v>
      </c>
    </row>
    <row r="3" spans="1:10" x14ac:dyDescent="0.15">
      <c r="A3" t="s">
        <v>94</v>
      </c>
      <c r="B3" s="2"/>
      <c r="C3" s="2" t="str">
        <f>IFERROR(
  INDEX(Sheet1!$B$1:$N$1,
    MATCH(B3,
      INDEX(Sheet1!$B$2:$N$170,
        MATCH($A3,Sheet1!$A$2:$A$170,0),
        0
      ),
      0
    )
  ),
  ""
)</f>
        <v/>
      </c>
      <c r="D3" t="s">
        <v>9</v>
      </c>
      <c r="E3" t="s">
        <v>835</v>
      </c>
      <c r="F3" t="str">
        <f t="shared" si="0"/>
        <v>Yes</v>
      </c>
      <c r="J3">
        <f t="shared" si="1"/>
        <v>40</v>
      </c>
    </row>
    <row r="4" spans="1:10" hidden="1" x14ac:dyDescent="0.15">
      <c r="A4" t="s">
        <v>163</v>
      </c>
      <c r="B4" s="2"/>
      <c r="C4" s="2" t="str">
        <f>IFERROR(
  INDEX(Sheet1!$B$1:$N$1,
    MATCH(B4,
      INDEX(Sheet1!$B$2:$N$170,
        MATCH($A4,Sheet1!$A$2:$A$170,0),
        0
      ),
      0
    )
  ),
  ""
)</f>
        <v/>
      </c>
      <c r="D4" t="s">
        <v>9</v>
      </c>
      <c r="E4" t="s">
        <v>825</v>
      </c>
      <c r="F4" t="str">
        <f t="shared" si="0"/>
        <v>Yes</v>
      </c>
      <c r="J4">
        <f t="shared" si="1"/>
        <v>109</v>
      </c>
    </row>
    <row r="5" spans="1:10" x14ac:dyDescent="0.15">
      <c r="A5" t="s">
        <v>162</v>
      </c>
      <c r="B5" s="2"/>
      <c r="C5" s="2" t="str">
        <f>IFERROR(
  INDEX(Sheet1!$B$1:$N$1,
    MATCH(B5,
      INDEX(Sheet1!$B$2:$N$170,
        MATCH($A5,Sheet1!$A$2:$A$170,0),
        0
      ),
      0
    )
  ),
  ""
)</f>
        <v/>
      </c>
      <c r="D5" t="s">
        <v>9</v>
      </c>
      <c r="E5" t="s">
        <v>824</v>
      </c>
      <c r="F5" t="str">
        <f t="shared" si="0"/>
        <v>Yes</v>
      </c>
      <c r="J5">
        <f t="shared" si="1"/>
        <v>108</v>
      </c>
    </row>
    <row r="6" spans="1:10" hidden="1" x14ac:dyDescent="0.15">
      <c r="A6" t="s">
        <v>179</v>
      </c>
      <c r="B6" s="2"/>
      <c r="C6" s="2" t="str">
        <f>IFERROR(
  INDEX(Sheet1!$B$1:$N$1,
    MATCH(B6,
      INDEX(Sheet1!$B$2:$N$170,
        MATCH($A6,Sheet1!$A$2:$A$170,0),
        0
      ),
      0
    )
  ),
  ""
)</f>
        <v/>
      </c>
      <c r="D6" t="s">
        <v>9</v>
      </c>
      <c r="E6" t="s">
        <v>831</v>
      </c>
      <c r="F6" t="str">
        <f t="shared" si="0"/>
        <v>Yes</v>
      </c>
      <c r="J6">
        <f t="shared" si="1"/>
        <v>125</v>
      </c>
    </row>
    <row r="7" spans="1:10" x14ac:dyDescent="0.15">
      <c r="A7" t="s">
        <v>149</v>
      </c>
      <c r="B7" s="2"/>
      <c r="C7" s="2" t="str">
        <f>IFERROR(
  INDEX(Sheet1!$B$1:$N$1,
    MATCH(B7,
      INDEX(Sheet1!$B$2:$N$170,
        MATCH($A7,Sheet1!$A$2:$A$170,0),
        0
      ),
      0
    )
  ),
  ""
)</f>
        <v/>
      </c>
      <c r="D7" t="s">
        <v>9</v>
      </c>
      <c r="E7" t="s">
        <v>830</v>
      </c>
      <c r="F7" t="str">
        <f t="shared" si="0"/>
        <v>Yes</v>
      </c>
      <c r="J7">
        <f t="shared" si="1"/>
        <v>95</v>
      </c>
    </row>
    <row r="8" spans="1:10" hidden="1" x14ac:dyDescent="0.15">
      <c r="A8" t="s">
        <v>171</v>
      </c>
      <c r="B8" s="2"/>
      <c r="C8" s="2" t="str">
        <f>IFERROR(
  INDEX(Sheet1!$B$1:$N$1,
    MATCH(B8,
      INDEX(Sheet1!$B$2:$N$170,
        MATCH($A8,Sheet1!$A$2:$A$170,0),
        0
      ),
      0
    )
  ),
  ""
)</f>
        <v/>
      </c>
      <c r="D8" t="s">
        <v>9</v>
      </c>
      <c r="E8" t="s">
        <v>800</v>
      </c>
      <c r="F8" t="str">
        <f t="shared" si="0"/>
        <v>Yes</v>
      </c>
      <c r="J8">
        <f t="shared" si="1"/>
        <v>117</v>
      </c>
    </row>
    <row r="9" spans="1:10" x14ac:dyDescent="0.15">
      <c r="A9" t="s">
        <v>82</v>
      </c>
      <c r="B9" s="2"/>
      <c r="C9" s="2" t="str">
        <f>IFERROR(
  INDEX(Sheet1!$B$1:$N$1,
    MATCH(B9,
      INDEX(Sheet1!$B$2:$N$170,
        MATCH($A9,Sheet1!$A$2:$A$170,0),
        0
      ),
      0
    )
  ),
  ""
)</f>
        <v/>
      </c>
      <c r="D9" t="s">
        <v>9</v>
      </c>
      <c r="E9" t="s">
        <v>833</v>
      </c>
      <c r="F9" t="str">
        <f t="shared" si="0"/>
        <v>Yes</v>
      </c>
      <c r="J9">
        <f t="shared" si="1"/>
        <v>28</v>
      </c>
    </row>
    <row r="10" spans="1:10" hidden="1" x14ac:dyDescent="0.15">
      <c r="A10" t="s">
        <v>72</v>
      </c>
      <c r="B10" s="2" t="s">
        <v>359</v>
      </c>
      <c r="C10" s="2" t="str">
        <f>IFERROR(
  INDEX(Sheet1!$B$1:$N$1,
    MATCH(B10,
      INDEX(Sheet1!$B$2:$N$170,
        MATCH($A10,Sheet1!$A$2:$A$170,0),
        0
      ),
      0
    )
  ),
  ""
)</f>
        <v>5</v>
      </c>
      <c r="D10" t="s">
        <v>24</v>
      </c>
      <c r="E10" t="s">
        <v>762</v>
      </c>
      <c r="F10" t="str">
        <f t="shared" si="0"/>
        <v>Yes</v>
      </c>
      <c r="J10">
        <f t="shared" si="1"/>
        <v>18</v>
      </c>
    </row>
    <row r="11" spans="1:10" hidden="1" x14ac:dyDescent="0.15">
      <c r="A11" t="s">
        <v>73</v>
      </c>
      <c r="B11" s="2" t="s">
        <v>365</v>
      </c>
      <c r="C11" s="2" t="str">
        <f>IFERROR(
  INDEX(Sheet1!$B$1:$N$1,
    MATCH(B11,
      INDEX(Sheet1!$B$2:$N$170,
        MATCH($A11,Sheet1!$A$2:$A$170,0),
        0
      ),
      0
    )
  ),
  ""
)</f>
        <v>5</v>
      </c>
      <c r="D11" t="s">
        <v>24</v>
      </c>
      <c r="E11" t="s">
        <v>763</v>
      </c>
      <c r="F11" t="str">
        <f t="shared" si="0"/>
        <v>Yes</v>
      </c>
      <c r="J11">
        <f t="shared" si="1"/>
        <v>19</v>
      </c>
    </row>
    <row r="12" spans="1:10" hidden="1" x14ac:dyDescent="0.15">
      <c r="A12" t="s">
        <v>74</v>
      </c>
      <c r="B12" s="2" t="s">
        <v>371</v>
      </c>
      <c r="C12" s="2" t="str">
        <f>IFERROR(
  INDEX(Sheet1!$B$1:$N$1,
    MATCH(B12,
      INDEX(Sheet1!$B$2:$N$170,
        MATCH($A12,Sheet1!$A$2:$A$170,0),
        0
      ),
      0
    )
  ),
  ""
)</f>
        <v>5</v>
      </c>
      <c r="D12" t="s">
        <v>24</v>
      </c>
      <c r="E12" t="s">
        <v>764</v>
      </c>
      <c r="F12" t="str">
        <f t="shared" si="0"/>
        <v>Yes</v>
      </c>
      <c r="J12">
        <f t="shared" si="1"/>
        <v>20</v>
      </c>
    </row>
    <row r="13" spans="1:10" hidden="1" x14ac:dyDescent="0.15">
      <c r="A13" t="s">
        <v>75</v>
      </c>
      <c r="B13" s="2" t="s">
        <v>378</v>
      </c>
      <c r="C13" s="2" t="str">
        <f>IFERROR(
  INDEX(Sheet1!$B$1:$N$1,
    MATCH(B13,
      INDEX(Sheet1!$B$2:$N$170,
        MATCH($A13,Sheet1!$A$2:$A$170,0),
        0
      ),
      0
    )
  ),
  ""
)</f>
        <v>5</v>
      </c>
      <c r="D13" t="s">
        <v>24</v>
      </c>
      <c r="E13" t="s">
        <v>765</v>
      </c>
      <c r="F13" t="str">
        <f t="shared" si="0"/>
        <v>Yes</v>
      </c>
      <c r="J13">
        <f t="shared" si="1"/>
        <v>21</v>
      </c>
    </row>
    <row r="14" spans="1:10" hidden="1" x14ac:dyDescent="0.15">
      <c r="A14" t="s">
        <v>76</v>
      </c>
      <c r="B14" s="2" t="s">
        <v>385</v>
      </c>
      <c r="C14" s="2" t="str">
        <f>IFERROR(
  INDEX(Sheet1!$B$1:$N$1,
    MATCH(B14,
      INDEX(Sheet1!$B$2:$N$170,
        MATCH($A14,Sheet1!$A$2:$A$170,0),
        0
      ),
      0
    )
  ),
  ""
)</f>
        <v>5</v>
      </c>
      <c r="D14" t="s">
        <v>24</v>
      </c>
      <c r="E14" t="s">
        <v>766</v>
      </c>
      <c r="F14" t="str">
        <f t="shared" si="0"/>
        <v>Yes</v>
      </c>
      <c r="J14">
        <f t="shared" si="1"/>
        <v>22</v>
      </c>
    </row>
    <row r="15" spans="1:10" hidden="1" x14ac:dyDescent="0.15">
      <c r="A15" t="s">
        <v>77</v>
      </c>
      <c r="B15" s="2" t="s">
        <v>393</v>
      </c>
      <c r="C15" s="2" t="str">
        <f>IFERROR(
  INDEX(Sheet1!$B$1:$N$1,
    MATCH(B15,
      INDEX(Sheet1!$B$2:$N$170,
        MATCH($A15,Sheet1!$A$2:$A$170,0),
        0
      ),
      0
    )
  ),
  ""
)</f>
        <v>5</v>
      </c>
      <c r="D15" t="s">
        <v>24</v>
      </c>
      <c r="E15" t="s">
        <v>767</v>
      </c>
      <c r="F15" t="str">
        <f t="shared" si="0"/>
        <v>Yes</v>
      </c>
      <c r="J15">
        <f t="shared" si="1"/>
        <v>23</v>
      </c>
    </row>
    <row r="16" spans="1:10" hidden="1" x14ac:dyDescent="0.15">
      <c r="A16" t="s">
        <v>223</v>
      </c>
      <c r="B16" s="2" t="s">
        <v>255</v>
      </c>
      <c r="C16" s="2" t="str">
        <f>IFERROR(
  INDEX(Sheet1!$B$1:$N$1,
    MATCH(B16,
      INDEX(Sheet1!$B$2:$N$170,
        MATCH($A16,Sheet1!$A$2:$A$170,0),
        0
      ),
      0
    )
  ),
  ""
)</f>
        <v>1</v>
      </c>
      <c r="D16" t="s">
        <v>24</v>
      </c>
      <c r="E16" t="s">
        <v>676</v>
      </c>
      <c r="F16" t="str">
        <f t="shared" si="0"/>
        <v>Yes</v>
      </c>
      <c r="J16">
        <f t="shared" si="1"/>
        <v>0</v>
      </c>
    </row>
    <row r="17" spans="1:10" hidden="1" x14ac:dyDescent="0.15">
      <c r="A17" t="s">
        <v>224</v>
      </c>
      <c r="B17" s="2" t="s">
        <v>260</v>
      </c>
      <c r="C17" s="2" t="str">
        <f>IFERROR(
  INDEX(Sheet1!$B$1:$N$1,
    MATCH(B17,
      INDEX(Sheet1!$B$2:$N$170,
        MATCH($A17,Sheet1!$A$2:$A$170,0),
        0
      ),
      0
    )
  ),
  ""
)</f>
        <v>1</v>
      </c>
      <c r="D17" t="s">
        <v>24</v>
      </c>
      <c r="E17" t="s">
        <v>677</v>
      </c>
      <c r="F17" t="str">
        <f t="shared" si="0"/>
        <v>Yes</v>
      </c>
      <c r="J17">
        <f t="shared" si="1"/>
        <v>1</v>
      </c>
    </row>
    <row r="18" spans="1:10" hidden="1" x14ac:dyDescent="0.15">
      <c r="A18" t="s">
        <v>56</v>
      </c>
      <c r="B18" s="2" t="s">
        <v>266</v>
      </c>
      <c r="C18" s="2" t="str">
        <f>IFERROR(
  INDEX(Sheet1!$B$1:$N$1,
    MATCH(B18,
      INDEX(Sheet1!$B$2:$N$170,
        MATCH($A18,Sheet1!$A$2:$A$170,0),
        0
      ),
      0
    )
  ),
  ""
)</f>
        <v>1</v>
      </c>
      <c r="D18" t="s">
        <v>24</v>
      </c>
      <c r="E18" t="s">
        <v>678</v>
      </c>
      <c r="F18" t="str">
        <f t="shared" si="0"/>
        <v>Yes</v>
      </c>
      <c r="J18">
        <f t="shared" si="1"/>
        <v>2</v>
      </c>
    </row>
    <row r="19" spans="1:10" hidden="1" x14ac:dyDescent="0.15">
      <c r="A19" t="s">
        <v>57</v>
      </c>
      <c r="B19" s="2" t="s">
        <v>271</v>
      </c>
      <c r="C19" s="2" t="str">
        <f>IFERROR(
  INDEX(Sheet1!$B$1:$N$1,
    MATCH(B19,
      INDEX(Sheet1!$B$2:$N$170,
        MATCH($A19,Sheet1!$A$2:$A$170,0),
        0
      ),
      0
    )
  ),
  ""
)</f>
        <v>1</v>
      </c>
      <c r="D19" t="s">
        <v>24</v>
      </c>
      <c r="E19" t="s">
        <v>679</v>
      </c>
      <c r="F19" t="str">
        <f t="shared" si="0"/>
        <v>Yes</v>
      </c>
      <c r="J19">
        <f t="shared" si="1"/>
        <v>3</v>
      </c>
    </row>
    <row r="20" spans="1:10" hidden="1" x14ac:dyDescent="0.15">
      <c r="A20" t="s">
        <v>58</v>
      </c>
      <c r="B20" s="2" t="s">
        <v>277</v>
      </c>
      <c r="C20" s="2" t="str">
        <f>IFERROR(
  INDEX(Sheet1!$B$1:$N$1,
    MATCH(B20,
      INDEX(Sheet1!$B$2:$N$170,
        MATCH($A20,Sheet1!$A$2:$A$170,0),
        0
      ),
      0
    )
  ),
  ""
)</f>
        <v>1</v>
      </c>
      <c r="D20" t="s">
        <v>24</v>
      </c>
      <c r="E20" t="s">
        <v>680</v>
      </c>
      <c r="F20" t="str">
        <f t="shared" si="0"/>
        <v>Yes</v>
      </c>
      <c r="J20">
        <f t="shared" si="1"/>
        <v>4</v>
      </c>
    </row>
    <row r="21" spans="1:10" hidden="1" x14ac:dyDescent="0.15">
      <c r="A21" t="s">
        <v>59</v>
      </c>
      <c r="B21" s="2" t="s">
        <v>283</v>
      </c>
      <c r="C21" s="2" t="str">
        <f>IFERROR(
  INDEX(Sheet1!$B$1:$N$1,
    MATCH(B21,
      INDEX(Sheet1!$B$2:$N$170,
        MATCH($A21,Sheet1!$A$2:$A$170,0),
        0
      ),
      0
    )
  ),
  ""
)</f>
        <v>1</v>
      </c>
      <c r="D21" t="s">
        <v>24</v>
      </c>
      <c r="E21" t="s">
        <v>681</v>
      </c>
      <c r="F21" t="str">
        <f t="shared" si="0"/>
        <v>Yes</v>
      </c>
      <c r="J21">
        <f t="shared" si="1"/>
        <v>5</v>
      </c>
    </row>
    <row r="22" spans="1:10" hidden="1" x14ac:dyDescent="0.15">
      <c r="A22" t="s">
        <v>60</v>
      </c>
      <c r="B22" s="2" t="s">
        <v>289</v>
      </c>
      <c r="C22" s="2" t="str">
        <f>IFERROR(
  INDEX(Sheet1!$B$1:$N$1,
    MATCH(B22,
      INDEX(Sheet1!$B$2:$N$170,
        MATCH($A22,Sheet1!$A$2:$A$170,0),
        0
      ),
      0
    )
  ),
  ""
)</f>
        <v>1</v>
      </c>
      <c r="D22" t="s">
        <v>24</v>
      </c>
      <c r="E22" t="s">
        <v>682</v>
      </c>
      <c r="F22" t="str">
        <f t="shared" si="0"/>
        <v>Yes</v>
      </c>
      <c r="J22">
        <f t="shared" si="1"/>
        <v>6</v>
      </c>
    </row>
    <row r="23" spans="1:10" hidden="1" x14ac:dyDescent="0.15">
      <c r="A23" t="s">
        <v>61</v>
      </c>
      <c r="B23" s="2" t="s">
        <v>296</v>
      </c>
      <c r="C23" s="2" t="str">
        <f>IFERROR(
  INDEX(Sheet1!$B$1:$N$1,
    MATCH(B23,
      INDEX(Sheet1!$B$2:$N$170,
        MATCH($A23,Sheet1!$A$2:$A$170,0),
        0
      ),
      0
    )
  ),
  ""
)</f>
        <v>1</v>
      </c>
      <c r="D23" t="s">
        <v>24</v>
      </c>
      <c r="E23" t="s">
        <v>683</v>
      </c>
      <c r="F23" t="str">
        <f t="shared" si="0"/>
        <v>Yes</v>
      </c>
      <c r="J23">
        <f t="shared" si="1"/>
        <v>7</v>
      </c>
    </row>
    <row r="24" spans="1:10" hidden="1" x14ac:dyDescent="0.15">
      <c r="A24" t="s">
        <v>62</v>
      </c>
      <c r="B24" s="2" t="s">
        <v>303</v>
      </c>
      <c r="C24" s="2" t="str">
        <f>IFERROR(
  INDEX(Sheet1!$B$1:$N$1,
    MATCH(B24,
      INDEX(Sheet1!$B$2:$N$170,
        MATCH($A24,Sheet1!$A$2:$A$170,0),
        0
      ),
      0
    )
  ),
  ""
)</f>
        <v>1</v>
      </c>
      <c r="D24" t="s">
        <v>24</v>
      </c>
      <c r="E24" t="s">
        <v>684</v>
      </c>
      <c r="F24" t="str">
        <f t="shared" si="0"/>
        <v>Yes</v>
      </c>
      <c r="J24">
        <f t="shared" si="1"/>
        <v>8</v>
      </c>
    </row>
    <row r="25" spans="1:10" hidden="1" x14ac:dyDescent="0.15">
      <c r="A25" t="s">
        <v>63</v>
      </c>
      <c r="B25" s="2" t="s">
        <v>309</v>
      </c>
      <c r="C25" s="2" t="str">
        <f>IFERROR(
  INDEX(Sheet1!$B$1:$N$1,
    MATCH(B25,
      INDEX(Sheet1!$B$2:$N$170,
        MATCH($A25,Sheet1!$A$2:$A$170,0),
        0
      ),
      0
    )
  ),
  ""
)</f>
        <v>1</v>
      </c>
      <c r="D25" t="s">
        <v>24</v>
      </c>
      <c r="E25" t="s">
        <v>685</v>
      </c>
      <c r="F25" t="str">
        <f t="shared" si="0"/>
        <v>Yes</v>
      </c>
      <c r="J25">
        <f t="shared" si="1"/>
        <v>9</v>
      </c>
    </row>
    <row r="26" spans="1:10" hidden="1" x14ac:dyDescent="0.15">
      <c r="A26" t="s">
        <v>78</v>
      </c>
      <c r="B26" s="2" t="s">
        <v>401</v>
      </c>
      <c r="C26" s="2" t="str">
        <f>IFERROR(
  INDEX(Sheet1!$B$1:$N$1,
    MATCH(B26,
      INDEX(Sheet1!$B$2:$N$170,
        MATCH($A26,Sheet1!$A$2:$A$170,0),
        0
      ),
      0
    )
  ),
  ""
)</f>
        <v>6</v>
      </c>
      <c r="D26" t="s">
        <v>240</v>
      </c>
      <c r="E26" t="s">
        <v>752</v>
      </c>
      <c r="F26" t="str">
        <f t="shared" si="0"/>
        <v>Yes</v>
      </c>
      <c r="J26">
        <f t="shared" si="1"/>
        <v>24</v>
      </c>
    </row>
    <row r="27" spans="1:10" hidden="1" x14ac:dyDescent="0.15">
      <c r="A27" t="s">
        <v>79</v>
      </c>
      <c r="B27" s="2" t="s">
        <v>409</v>
      </c>
      <c r="C27" s="2" t="str">
        <f>IFERROR(
  INDEX(Sheet1!$B$1:$N$1,
    MATCH(B27,
      INDEX(Sheet1!$B$2:$N$170,
        MATCH($A27,Sheet1!$A$2:$A$170,0),
        0
      ),
      0
    )
  ),
  ""
)</f>
        <v>6</v>
      </c>
      <c r="D27" t="s">
        <v>240</v>
      </c>
      <c r="E27" t="s">
        <v>753</v>
      </c>
      <c r="F27" t="str">
        <f t="shared" si="0"/>
        <v>Yes</v>
      </c>
      <c r="J27">
        <f t="shared" si="1"/>
        <v>25</v>
      </c>
    </row>
    <row r="28" spans="1:10" hidden="1" x14ac:dyDescent="0.15">
      <c r="A28" t="s">
        <v>80</v>
      </c>
      <c r="B28" s="2" t="s">
        <v>386</v>
      </c>
      <c r="C28" s="2" t="str">
        <f>IFERROR(
  INDEX(Sheet1!$B$1:$N$1,
    MATCH(B28,
      INDEX(Sheet1!$B$2:$N$170,
        MATCH($A28,Sheet1!$A$2:$A$170,0),
        0
      ),
      0
    )
  ),
  ""
)</f>
        <v>6</v>
      </c>
      <c r="D28" t="s">
        <v>240</v>
      </c>
      <c r="E28" t="s">
        <v>755</v>
      </c>
      <c r="F28" t="str">
        <f t="shared" si="0"/>
        <v>Yes</v>
      </c>
      <c r="J28">
        <f t="shared" si="1"/>
        <v>26</v>
      </c>
    </row>
    <row r="29" spans="1:10" hidden="1" x14ac:dyDescent="0.15">
      <c r="A29" t="s">
        <v>81</v>
      </c>
      <c r="B29" s="2" t="s">
        <v>394</v>
      </c>
      <c r="C29" s="2" t="str">
        <f>IFERROR(
  INDEX(Sheet1!$B$1:$N$1,
    MATCH(B29,
      INDEX(Sheet1!$B$2:$N$170,
        MATCH($A29,Sheet1!$A$2:$A$170,0),
        0
      ),
      0
    )
  ),
  ""
)</f>
        <v>6</v>
      </c>
      <c r="D29" t="s">
        <v>240</v>
      </c>
      <c r="E29" t="s">
        <v>754</v>
      </c>
      <c r="F29" t="str">
        <f t="shared" si="0"/>
        <v>Yes</v>
      </c>
      <c r="J29">
        <f t="shared" si="1"/>
        <v>27</v>
      </c>
    </row>
    <row r="30" spans="1:10" hidden="1" x14ac:dyDescent="0.15">
      <c r="A30" t="s">
        <v>64</v>
      </c>
      <c r="B30" s="2" t="s">
        <v>316</v>
      </c>
      <c r="C30" s="2" t="str">
        <f>IFERROR(
  INDEX(Sheet1!$B$1:$N$1,
    MATCH(B30,
      INDEX(Sheet1!$B$2:$N$170,
        MATCH($A30,Sheet1!$A$2:$A$170,0),
        0
      ),
      0
    )
  ),
  ""
)</f>
        <v>1</v>
      </c>
      <c r="D30" t="s">
        <v>24</v>
      </c>
      <c r="E30" t="s">
        <v>686</v>
      </c>
      <c r="F30" t="str">
        <f t="shared" si="0"/>
        <v>Yes</v>
      </c>
      <c r="J30">
        <f t="shared" si="1"/>
        <v>10</v>
      </c>
    </row>
    <row r="31" spans="1:10" hidden="1" x14ac:dyDescent="0.15">
      <c r="A31" t="s">
        <v>83</v>
      </c>
      <c r="B31" s="2"/>
      <c r="C31" s="2" t="str">
        <f>IFERROR(
  INDEX(Sheet1!$B$1:$N$1,
    MATCH(B31,
      INDEX(Sheet1!$B$2:$N$170,
        MATCH($A31,Sheet1!$A$2:$A$170,0),
        0
      ),
      0
    )
  ),
  ""
)</f>
        <v/>
      </c>
      <c r="D31" t="s">
        <v>774</v>
      </c>
      <c r="E31" t="s">
        <v>776</v>
      </c>
      <c r="F31" t="str">
        <f t="shared" si="0"/>
        <v>Yes</v>
      </c>
      <c r="J31">
        <f t="shared" si="1"/>
        <v>29</v>
      </c>
    </row>
    <row r="32" spans="1:10" hidden="1" x14ac:dyDescent="0.15">
      <c r="A32" t="s">
        <v>84</v>
      </c>
      <c r="B32" s="2" t="s">
        <v>285</v>
      </c>
      <c r="C32" s="2" t="str">
        <f>IFERROR(
  INDEX(Sheet1!$B$1:$N$1,
    MATCH(B32,
      INDEX(Sheet1!$B$2:$N$170,
        MATCH($A32,Sheet1!$A$2:$A$170,0),
        0
      ),
      0
    )
  ),
  ""
)</f>
        <v>1</v>
      </c>
      <c r="D32" t="s">
        <v>39</v>
      </c>
      <c r="E32" t="s">
        <v>773</v>
      </c>
      <c r="F32" t="str">
        <f t="shared" si="0"/>
        <v>Yes</v>
      </c>
      <c r="J32">
        <f t="shared" si="1"/>
        <v>30</v>
      </c>
    </row>
    <row r="33" spans="1:10" hidden="1" x14ac:dyDescent="0.15">
      <c r="A33" t="s">
        <v>85</v>
      </c>
      <c r="B33" s="2" t="s">
        <v>279</v>
      </c>
      <c r="C33" s="2" t="str">
        <f>IFERROR(
  INDEX(Sheet1!$B$1:$N$1,
    MATCH(B33,
      INDEX(Sheet1!$B$2:$N$170,
        MATCH($A33,Sheet1!$A$2:$A$170,0),
        0
      ),
      0
    )
  ),
  ""
)</f>
        <v>1</v>
      </c>
      <c r="D33" t="s">
        <v>39</v>
      </c>
      <c r="E33" t="s">
        <v>688</v>
      </c>
      <c r="F33" t="str">
        <f t="shared" si="0"/>
        <v>Yes</v>
      </c>
      <c r="J33">
        <f t="shared" si="1"/>
        <v>31</v>
      </c>
    </row>
    <row r="34" spans="1:10" hidden="1" x14ac:dyDescent="0.15">
      <c r="A34" t="s">
        <v>86</v>
      </c>
      <c r="B34" s="2" t="s">
        <v>256</v>
      </c>
      <c r="C34" s="2" t="str">
        <f>IFERROR(
  INDEX(Sheet1!$B$1:$N$1,
    MATCH(B34,
      INDEX(Sheet1!$B$2:$N$170,
        MATCH($A34,Sheet1!$A$2:$A$170,0),
        0
      ),
      0
    )
  ),
  ""
)</f>
        <v>1</v>
      </c>
      <c r="D34" t="s">
        <v>38</v>
      </c>
      <c r="E34" t="s">
        <v>230</v>
      </c>
      <c r="F34" t="str">
        <f t="shared" ref="F34:F65" si="2">IF(E34&lt;&gt;"","Yes","No")</f>
        <v>Yes</v>
      </c>
      <c r="J34">
        <f t="shared" ref="J34:J65" si="3">IFERROR(VALUE(SUBSTITUTE(SUBSTITUTE(A34,"GPIO",""),"号","")),"")</f>
        <v>32</v>
      </c>
    </row>
    <row r="35" spans="1:10" hidden="1" x14ac:dyDescent="0.15">
      <c r="A35" t="s">
        <v>87</v>
      </c>
      <c r="B35" s="2" t="s">
        <v>262</v>
      </c>
      <c r="C35" s="2" t="str">
        <f>IFERROR(
  INDEX(Sheet1!$B$1:$N$1,
    MATCH(B35,
      INDEX(Sheet1!$B$2:$N$170,
        MATCH($A35,Sheet1!$A$2:$A$170,0),
        0
      ),
      0
    )
  ),
  ""
)</f>
        <v>1</v>
      </c>
      <c r="D35" t="s">
        <v>38</v>
      </c>
      <c r="E35" t="s">
        <v>231</v>
      </c>
      <c r="F35" t="str">
        <f t="shared" si="2"/>
        <v>Yes</v>
      </c>
      <c r="J35">
        <f t="shared" si="3"/>
        <v>33</v>
      </c>
    </row>
    <row r="36" spans="1:10" hidden="1" x14ac:dyDescent="0.15">
      <c r="A36" t="s">
        <v>88</v>
      </c>
      <c r="B36" s="2" t="s">
        <v>268</v>
      </c>
      <c r="C36" s="2" t="str">
        <f>IFERROR(
  INDEX(Sheet1!$B$1:$N$1,
    MATCH(B36,
      INDEX(Sheet1!$B$2:$N$170,
        MATCH($A36,Sheet1!$A$2:$A$170,0),
        0
      ),
      0
    )
  ),
  ""
)</f>
        <v>6</v>
      </c>
      <c r="D36" t="s">
        <v>38</v>
      </c>
      <c r="E36" t="s">
        <v>746</v>
      </c>
      <c r="F36" t="str">
        <f t="shared" si="2"/>
        <v>Yes</v>
      </c>
      <c r="J36">
        <f t="shared" si="3"/>
        <v>34</v>
      </c>
    </row>
    <row r="37" spans="1:10" hidden="1" x14ac:dyDescent="0.15">
      <c r="A37" t="s">
        <v>89</v>
      </c>
      <c r="B37" s="2" t="s">
        <v>274</v>
      </c>
      <c r="C37" s="2" t="str">
        <f>IFERROR(
  INDEX(Sheet1!$B$1:$N$1,
    MATCH(B37,
      INDEX(Sheet1!$B$2:$N$170,
        MATCH($A37,Sheet1!$A$2:$A$170,0),
        0
      ),
      0
    )
  ),
  ""
)</f>
        <v>6</v>
      </c>
      <c r="D37" t="s">
        <v>38</v>
      </c>
      <c r="E37" t="s">
        <v>747</v>
      </c>
      <c r="F37" t="str">
        <f t="shared" si="2"/>
        <v>Yes</v>
      </c>
      <c r="J37">
        <f t="shared" si="3"/>
        <v>35</v>
      </c>
    </row>
    <row r="38" spans="1:10" hidden="1" x14ac:dyDescent="0.15">
      <c r="A38" t="s">
        <v>90</v>
      </c>
      <c r="B38" s="2"/>
      <c r="C38" s="2"/>
      <c r="F38" t="str">
        <f t="shared" si="2"/>
        <v>No</v>
      </c>
      <c r="J38">
        <f t="shared" si="3"/>
        <v>36</v>
      </c>
    </row>
    <row r="39" spans="1:10" hidden="1" x14ac:dyDescent="0.15">
      <c r="A39" t="s">
        <v>91</v>
      </c>
      <c r="B39" s="2"/>
      <c r="C39" s="2" t="str">
        <f>IFERROR(
  INDEX(Sheet1!$B$1:$N$1,
    MATCH(B39,
      INDEX(Sheet1!$B$2:$N$170,
        MATCH($A39,Sheet1!$A$2:$A$170,0),
        0
      ),
      0
    )
  ),
  ""
)</f>
        <v/>
      </c>
      <c r="D39" t="s">
        <v>39</v>
      </c>
      <c r="E39" t="s">
        <v>775</v>
      </c>
      <c r="F39" t="str">
        <f t="shared" si="2"/>
        <v>Yes</v>
      </c>
      <c r="J39">
        <f t="shared" si="3"/>
        <v>37</v>
      </c>
    </row>
    <row r="40" spans="1:10" hidden="1" x14ac:dyDescent="0.15">
      <c r="A40" t="s">
        <v>92</v>
      </c>
      <c r="B40" s="2" t="s">
        <v>293</v>
      </c>
      <c r="C40" s="2" t="str">
        <f>IFERROR(
  INDEX(Sheet1!$B$1:$N$1,
    MATCH(B40,
      INDEX(Sheet1!$B$2:$N$170,
        MATCH($A40,Sheet1!$A$2:$A$170,0),
        0
      ),
      0
    )
  ),
  ""
)</f>
        <v>6</v>
      </c>
      <c r="D40" t="s">
        <v>39</v>
      </c>
      <c r="E40" t="s">
        <v>235</v>
      </c>
      <c r="F40" t="str">
        <f t="shared" si="2"/>
        <v>Yes</v>
      </c>
      <c r="J40">
        <f t="shared" si="3"/>
        <v>38</v>
      </c>
    </row>
    <row r="41" spans="1:10" hidden="1" x14ac:dyDescent="0.15">
      <c r="A41" t="s">
        <v>93</v>
      </c>
      <c r="B41" s="2" t="s">
        <v>300</v>
      </c>
      <c r="C41" s="2" t="str">
        <f>IFERROR(
  INDEX(Sheet1!$B$1:$N$1,
    MATCH(B41,
      INDEX(Sheet1!$B$2:$N$170,
        MATCH($A41,Sheet1!$A$2:$A$170,0),
        0
      ),
      0
    )
  ),
  ""
)</f>
        <v>6</v>
      </c>
      <c r="D41" t="s">
        <v>39</v>
      </c>
      <c r="E41" t="s">
        <v>772</v>
      </c>
      <c r="F41" t="str">
        <f t="shared" si="2"/>
        <v>Yes</v>
      </c>
      <c r="J41">
        <f t="shared" si="3"/>
        <v>39</v>
      </c>
    </row>
    <row r="42" spans="1:10" hidden="1" x14ac:dyDescent="0.15">
      <c r="A42" t="s">
        <v>65</v>
      </c>
      <c r="B42" s="2" t="s">
        <v>321</v>
      </c>
      <c r="C42" s="2" t="str">
        <f>IFERROR(
  INDEX(Sheet1!$B$1:$N$1,
    MATCH(B42,
      INDEX(Sheet1!$B$2:$N$170,
        MATCH($A42,Sheet1!$A$2:$A$170,0),
        0
      ),
      0
    )
  ),
  ""
)</f>
        <v>1</v>
      </c>
      <c r="D42" t="s">
        <v>24</v>
      </c>
      <c r="E42" t="s">
        <v>687</v>
      </c>
      <c r="F42" t="str">
        <f t="shared" si="2"/>
        <v>Yes</v>
      </c>
      <c r="J42">
        <f t="shared" si="3"/>
        <v>11</v>
      </c>
    </row>
    <row r="43" spans="1:10" hidden="1" x14ac:dyDescent="0.15">
      <c r="A43" t="s">
        <v>95</v>
      </c>
      <c r="B43" s="2"/>
      <c r="C43" s="2" t="str">
        <f>IFERROR(
  INDEX(Sheet1!$B$1:$N$1,
    MATCH(B43,
      INDEX(Sheet1!$B$2:$N$170,
        MATCH($A43,Sheet1!$A$2:$A$170,0),
        0
      ),
      0
    )
  ),
  ""
)</f>
        <v/>
      </c>
      <c r="D43" t="s">
        <v>9</v>
      </c>
      <c r="E43" t="s">
        <v>782</v>
      </c>
      <c r="F43" t="str">
        <f t="shared" si="2"/>
        <v>Yes</v>
      </c>
      <c r="J43">
        <f t="shared" si="3"/>
        <v>41</v>
      </c>
    </row>
    <row r="44" spans="1:10" hidden="1" x14ac:dyDescent="0.15">
      <c r="A44" t="s">
        <v>96</v>
      </c>
      <c r="B44" s="2"/>
      <c r="C44" s="2" t="str">
        <f>IFERROR(
  INDEX(Sheet1!$B$1:$N$1,
    MATCH(B44,
      INDEX(Sheet1!$B$2:$N$170,
        MATCH($A44,Sheet1!$A$2:$A$170,0),
        0
      ),
      0
    )
  ),
  ""
)</f>
        <v/>
      </c>
      <c r="D44" t="s">
        <v>820</v>
      </c>
      <c r="E44" t="s">
        <v>823</v>
      </c>
      <c r="F44" t="str">
        <f t="shared" si="2"/>
        <v>Yes</v>
      </c>
      <c r="J44">
        <f t="shared" si="3"/>
        <v>42</v>
      </c>
    </row>
    <row r="45" spans="1:10" hidden="1" x14ac:dyDescent="0.15">
      <c r="A45" t="s">
        <v>97</v>
      </c>
      <c r="B45" s="2"/>
      <c r="C45" s="2" t="str">
        <f>IFERROR(
  INDEX(Sheet1!$B$1:$N$1,
    MATCH(B45,
      INDEX(Sheet1!$B$2:$N$170,
        MATCH($A45,Sheet1!$A$2:$A$170,0),
        0
      ),
      0
    )
  ),
  ""
)</f>
        <v/>
      </c>
      <c r="F45" t="str">
        <f t="shared" si="2"/>
        <v>No</v>
      </c>
      <c r="J45">
        <f t="shared" si="3"/>
        <v>43</v>
      </c>
    </row>
    <row r="46" spans="1:10" hidden="1" x14ac:dyDescent="0.15">
      <c r="A46" t="s">
        <v>98</v>
      </c>
      <c r="B46" s="2" t="s">
        <v>720</v>
      </c>
      <c r="C46" s="2" t="str">
        <f>IFERROR(
  INDEX(Sheet1!$B$1:$N$1,
    MATCH(B46,
      INDEX(Sheet1!$B$2:$N$170,
        MATCH($A46,Sheet1!$A$2:$A$170,0),
        0
      ),
      0
    )
  ),
  ""
)</f>
        <v>14</v>
      </c>
      <c r="D46" t="s">
        <v>692</v>
      </c>
      <c r="E46" t="s">
        <v>720</v>
      </c>
      <c r="F46" t="str">
        <f t="shared" si="2"/>
        <v>Yes</v>
      </c>
      <c r="G46" t="s">
        <v>770</v>
      </c>
      <c r="J46">
        <f t="shared" si="3"/>
        <v>44</v>
      </c>
    </row>
    <row r="47" spans="1:10" hidden="1" x14ac:dyDescent="0.15">
      <c r="A47" t="s">
        <v>99</v>
      </c>
      <c r="B47" s="2" t="s">
        <v>486</v>
      </c>
      <c r="C47" s="2" t="str">
        <f>IFERROR(
  INDEX(Sheet1!$B$1:$N$1,
    MATCH(B47,
      INDEX(Sheet1!$B$2:$N$170,
        MATCH($A47,Sheet1!$A$2:$A$170,0),
        0
      ),
      0
    )
  ),
  ""
)</f>
        <v>14</v>
      </c>
      <c r="D47" t="s">
        <v>692</v>
      </c>
      <c r="E47" t="s">
        <v>721</v>
      </c>
      <c r="F47" t="str">
        <f t="shared" si="2"/>
        <v>Yes</v>
      </c>
      <c r="G47" t="s">
        <v>770</v>
      </c>
      <c r="J47">
        <f t="shared" si="3"/>
        <v>45</v>
      </c>
    </row>
    <row r="48" spans="1:10" hidden="1" x14ac:dyDescent="0.15">
      <c r="A48" t="s">
        <v>100</v>
      </c>
      <c r="B48" s="2" t="s">
        <v>420</v>
      </c>
      <c r="C48" s="2" t="str">
        <f>IFERROR(
  INDEX(Sheet1!$B$1:$N$1,
    MATCH(B48,
      INDEX(Sheet1!$B$2:$N$170,
        MATCH($A48,Sheet1!$A$2:$A$170,0),
        0
      ),
      0
    )
  ),
  ""
)</f>
        <v>14</v>
      </c>
      <c r="D48" t="s">
        <v>692</v>
      </c>
      <c r="E48" t="s">
        <v>722</v>
      </c>
      <c r="F48" t="str">
        <f t="shared" si="2"/>
        <v>Yes</v>
      </c>
      <c r="G48" t="s">
        <v>770</v>
      </c>
      <c r="J48">
        <f t="shared" si="3"/>
        <v>46</v>
      </c>
    </row>
    <row r="49" spans="1:10" hidden="1" x14ac:dyDescent="0.15">
      <c r="A49" t="s">
        <v>101</v>
      </c>
      <c r="B49" s="2" t="s">
        <v>427</v>
      </c>
      <c r="C49" s="2" t="str">
        <f>IFERROR(
  INDEX(Sheet1!$B$1:$N$1,
    MATCH(B49,
      INDEX(Sheet1!$B$2:$N$170,
        MATCH($A49,Sheet1!$A$2:$A$170,0),
        0
      ),
      0
    )
  ),
  ""
)</f>
        <v>14</v>
      </c>
      <c r="D49" t="s">
        <v>692</v>
      </c>
      <c r="E49" t="s">
        <v>723</v>
      </c>
      <c r="F49" t="str">
        <f t="shared" si="2"/>
        <v>Yes</v>
      </c>
      <c r="G49" t="s">
        <v>770</v>
      </c>
      <c r="J49">
        <f t="shared" si="3"/>
        <v>47</v>
      </c>
    </row>
    <row r="50" spans="1:10" hidden="1" x14ac:dyDescent="0.15">
      <c r="A50" t="s">
        <v>102</v>
      </c>
      <c r="B50" s="2" t="s">
        <v>306</v>
      </c>
      <c r="C50" s="2" t="str">
        <f>IFERROR(
  INDEX(Sheet1!$B$1:$N$1,
    MATCH(B50,
      INDEX(Sheet1!$B$2:$N$170,
        MATCH($A50,Sheet1!$A$2:$A$170,0),
        0
      ),
      0
    )
  ),
  ""
)</f>
        <v>6</v>
      </c>
      <c r="D50" t="s">
        <v>768</v>
      </c>
      <c r="E50" t="s">
        <v>805</v>
      </c>
      <c r="F50" t="str">
        <f t="shared" si="2"/>
        <v>Yes</v>
      </c>
      <c r="J50">
        <f t="shared" si="3"/>
        <v>48</v>
      </c>
    </row>
    <row r="51" spans="1:10" hidden="1" x14ac:dyDescent="0.15">
      <c r="A51" t="s">
        <v>103</v>
      </c>
      <c r="B51" s="2" t="s">
        <v>313</v>
      </c>
      <c r="C51" s="2" t="str">
        <f>IFERROR(
  INDEX(Sheet1!$B$1:$N$1,
    MATCH(B51,
      INDEX(Sheet1!$B$2:$N$170,
        MATCH($A51,Sheet1!$A$2:$A$170,0),
        0
      ),
      0
    )
  ),
  ""
)</f>
        <v>6</v>
      </c>
      <c r="D51" t="s">
        <v>768</v>
      </c>
      <c r="E51" t="s">
        <v>806</v>
      </c>
      <c r="F51" t="str">
        <f t="shared" si="2"/>
        <v>Yes</v>
      </c>
      <c r="J51">
        <f t="shared" si="3"/>
        <v>49</v>
      </c>
    </row>
    <row r="52" spans="1:10" hidden="1" x14ac:dyDescent="0.15">
      <c r="A52" t="s">
        <v>104</v>
      </c>
      <c r="B52" s="2"/>
      <c r="C52" s="2"/>
      <c r="F52" t="str">
        <f t="shared" si="2"/>
        <v>No</v>
      </c>
      <c r="J52">
        <f t="shared" si="3"/>
        <v>50</v>
      </c>
    </row>
    <row r="53" spans="1:10" hidden="1" x14ac:dyDescent="0.15">
      <c r="A53" t="s">
        <v>105</v>
      </c>
      <c r="B53" s="2"/>
      <c r="C53" s="2"/>
      <c r="F53" t="str">
        <f t="shared" si="2"/>
        <v>No</v>
      </c>
      <c r="J53">
        <f t="shared" si="3"/>
        <v>51</v>
      </c>
    </row>
    <row r="54" spans="1:10" hidden="1" x14ac:dyDescent="0.15">
      <c r="A54" t="s">
        <v>106</v>
      </c>
      <c r="B54" s="2"/>
      <c r="C54" s="2" t="str">
        <f>IFERROR(
  INDEX(Sheet1!$B$1:$N$1,
    MATCH(B54,
      INDEX(Sheet1!$B$2:$N$170,
        MATCH($A54,Sheet1!$A$2:$A$170,0),
        0
      ),
      0
    )
  ),
  ""
)</f>
        <v/>
      </c>
      <c r="D54" t="s">
        <v>768</v>
      </c>
      <c r="E54" t="s">
        <v>807</v>
      </c>
      <c r="F54" t="str">
        <f t="shared" si="2"/>
        <v>Yes</v>
      </c>
      <c r="J54">
        <f t="shared" si="3"/>
        <v>52</v>
      </c>
    </row>
    <row r="55" spans="1:10" hidden="1" x14ac:dyDescent="0.15">
      <c r="A55" t="s">
        <v>107</v>
      </c>
      <c r="B55" s="2"/>
      <c r="C55" s="2"/>
      <c r="F55" t="str">
        <f t="shared" si="2"/>
        <v>No</v>
      </c>
      <c r="J55">
        <f t="shared" si="3"/>
        <v>53</v>
      </c>
    </row>
    <row r="56" spans="1:10" hidden="1" x14ac:dyDescent="0.15">
      <c r="A56" t="s">
        <v>108</v>
      </c>
      <c r="B56" s="2" t="s">
        <v>400</v>
      </c>
      <c r="C56" s="2" t="str">
        <f>IFERROR(
  INDEX(Sheet1!$B$1:$N$1,
    MATCH(B56,
      INDEX(Sheet1!$B$2:$N$170,
        MATCH($A56,Sheet1!$A$2:$A$170,0),
        0
      ),
      0
    )
  ),
  ""
)</f>
        <v>5</v>
      </c>
      <c r="D56" t="s">
        <v>675</v>
      </c>
      <c r="E56" t="s">
        <v>786</v>
      </c>
      <c r="F56" t="str">
        <f t="shared" si="2"/>
        <v>Yes</v>
      </c>
      <c r="J56">
        <f t="shared" si="3"/>
        <v>54</v>
      </c>
    </row>
    <row r="57" spans="1:10" hidden="1" x14ac:dyDescent="0.15">
      <c r="A57" t="s">
        <v>109</v>
      </c>
      <c r="B57" s="2" t="s">
        <v>408</v>
      </c>
      <c r="C57" s="2" t="str">
        <f>IFERROR(
  INDEX(Sheet1!$B$1:$N$1,
    MATCH(B57,
      INDEX(Sheet1!$B$2:$N$170,
        MATCH($A57,Sheet1!$A$2:$A$170,0),
        0
      ),
      0
    )
  ),
  ""
)</f>
        <v>5</v>
      </c>
      <c r="D57" t="s">
        <v>675</v>
      </c>
      <c r="E57" t="s">
        <v>787</v>
      </c>
      <c r="F57" t="str">
        <f t="shared" si="2"/>
        <v>Yes</v>
      </c>
      <c r="J57">
        <f t="shared" si="3"/>
        <v>55</v>
      </c>
    </row>
    <row r="58" spans="1:10" hidden="1" x14ac:dyDescent="0.15">
      <c r="A58" t="s">
        <v>110</v>
      </c>
      <c r="B58" s="2"/>
      <c r="C58" s="2" t="str">
        <f>IFERROR(
  INDEX(Sheet1!$B$1:$N$1,
    MATCH(B58,
      INDEX(Sheet1!$B$2:$N$170,
        MATCH($A58,Sheet1!$A$2:$A$170,0),
        0
      ),
      0
    )
  ),
  ""
)</f>
        <v/>
      </c>
      <c r="D58" t="s">
        <v>9</v>
      </c>
      <c r="E58" t="s">
        <v>817</v>
      </c>
      <c r="F58" t="str">
        <f t="shared" si="2"/>
        <v>Yes</v>
      </c>
      <c r="J58">
        <f t="shared" si="3"/>
        <v>56</v>
      </c>
    </row>
    <row r="59" spans="1:10" hidden="1" x14ac:dyDescent="0.15">
      <c r="A59" t="s">
        <v>111</v>
      </c>
      <c r="B59" s="2" t="s">
        <v>416</v>
      </c>
      <c r="C59" s="2" t="str">
        <f>IFERROR(
  INDEX(Sheet1!$B$1:$N$1,
    MATCH(B59,
      INDEX(Sheet1!$B$2:$N$170,
        MATCH($A59,Sheet1!$A$2:$A$170,0),
        0
      ),
      0
    )
  ),
  ""
)</f>
        <v>5</v>
      </c>
      <c r="D59" t="s">
        <v>675</v>
      </c>
      <c r="E59" t="s">
        <v>788</v>
      </c>
      <c r="F59" t="str">
        <f t="shared" si="2"/>
        <v>Yes</v>
      </c>
      <c r="J59">
        <f t="shared" si="3"/>
        <v>57</v>
      </c>
    </row>
    <row r="60" spans="1:10" hidden="1" x14ac:dyDescent="0.15">
      <c r="A60" t="s">
        <v>112</v>
      </c>
      <c r="B60" s="2" t="s">
        <v>347</v>
      </c>
      <c r="C60" s="2" t="str">
        <f>IFERROR(
  INDEX(Sheet1!$B$1:$N$1,
    MATCH(B60,
      INDEX(Sheet1!$B$2:$N$170,
        MATCH($A60,Sheet1!$A$2:$A$170,0),
        0
      ),
      0
    )
  ),
  ""
)</f>
        <v>15</v>
      </c>
      <c r="D60" t="s">
        <v>240</v>
      </c>
      <c r="E60" t="s">
        <v>689</v>
      </c>
      <c r="F60" t="str">
        <f t="shared" si="2"/>
        <v>Yes</v>
      </c>
      <c r="J60">
        <f t="shared" si="3"/>
        <v>58</v>
      </c>
    </row>
    <row r="61" spans="1:10" hidden="1" x14ac:dyDescent="0.15">
      <c r="A61" t="s">
        <v>113</v>
      </c>
      <c r="B61" s="2" t="s">
        <v>352</v>
      </c>
      <c r="C61" s="2" t="str">
        <f>IFERROR(
  INDEX(Sheet1!$B$1:$N$1,
    MATCH(B61,
      INDEX(Sheet1!$B$2:$N$170,
        MATCH($A61,Sheet1!$A$2:$A$170,0),
        0
      ),
      0
    )
  ),
  ""
)</f>
        <v>15</v>
      </c>
      <c r="D61" t="s">
        <v>240</v>
      </c>
      <c r="E61" t="s">
        <v>690</v>
      </c>
      <c r="F61" t="str">
        <f t="shared" si="2"/>
        <v>Yes</v>
      </c>
      <c r="J61">
        <f t="shared" si="3"/>
        <v>59</v>
      </c>
    </row>
    <row r="62" spans="1:10" hidden="1" x14ac:dyDescent="0.15">
      <c r="A62" t="s">
        <v>114</v>
      </c>
      <c r="B62" s="2" t="s">
        <v>358</v>
      </c>
      <c r="C62" s="2" t="str">
        <f>IFERROR(
  INDEX(Sheet1!$B$1:$N$1,
    MATCH(B62,
      INDEX(Sheet1!$B$2:$N$170,
        MATCH($A62,Sheet1!$A$2:$A$170,0),
        0
      ),
      0
    )
  ),
  ""
)</f>
        <v>15</v>
      </c>
      <c r="D62" t="s">
        <v>240</v>
      </c>
      <c r="E62" t="s">
        <v>239</v>
      </c>
      <c r="F62" t="str">
        <f t="shared" si="2"/>
        <v>Yes</v>
      </c>
      <c r="J62">
        <f t="shared" si="3"/>
        <v>60</v>
      </c>
    </row>
    <row r="63" spans="1:10" hidden="1" x14ac:dyDescent="0.15">
      <c r="A63" t="s">
        <v>115</v>
      </c>
      <c r="B63" s="2" t="s">
        <v>364</v>
      </c>
      <c r="C63" s="2" t="str">
        <f>IFERROR(
  INDEX(Sheet1!$B$1:$N$1,
    MATCH(B63,
      INDEX(Sheet1!$B$2:$N$170,
        MATCH($A63,Sheet1!$A$2:$A$170,0),
        0
      ),
      0
    )
  ),
  ""
)</f>
        <v>15</v>
      </c>
      <c r="D63" t="s">
        <v>240</v>
      </c>
      <c r="E63" t="s">
        <v>691</v>
      </c>
      <c r="F63" t="str">
        <f t="shared" si="2"/>
        <v>Yes</v>
      </c>
      <c r="J63">
        <f t="shared" si="3"/>
        <v>61</v>
      </c>
    </row>
    <row r="64" spans="1:10" hidden="1" x14ac:dyDescent="0.15">
      <c r="A64" t="s">
        <v>116</v>
      </c>
      <c r="B64" s="2"/>
      <c r="C64" s="2" t="str">
        <f>IFERROR(
  INDEX(Sheet1!$B$1:$N$1,
    MATCH(B64,
      INDEX(Sheet1!$B$2:$N$170,
        MATCH($A64,Sheet1!$A$2:$A$170,0),
        0
      ),
      0
    )
  ),
  ""
)</f>
        <v/>
      </c>
      <c r="F64" t="str">
        <f t="shared" si="2"/>
        <v>No</v>
      </c>
      <c r="G64" t="s">
        <v>789</v>
      </c>
      <c r="J64">
        <f t="shared" si="3"/>
        <v>62</v>
      </c>
    </row>
    <row r="65" spans="1:10" hidden="1" x14ac:dyDescent="0.15">
      <c r="A65" t="s">
        <v>117</v>
      </c>
      <c r="B65" s="2" t="s">
        <v>544</v>
      </c>
      <c r="C65" s="2" t="str">
        <f>IFERROR(
  INDEX(Sheet1!$B$1:$N$1,
    MATCH(B65,
      INDEX(Sheet1!$B$2:$N$170,
        MATCH($A65,Sheet1!$A$2:$A$170,0),
        0
      ),
      0
    )
  ),
  ""
)</f>
        <v>14</v>
      </c>
      <c r="D65" t="s">
        <v>692</v>
      </c>
      <c r="E65" t="s">
        <v>711</v>
      </c>
      <c r="F65" t="str">
        <f t="shared" si="2"/>
        <v>Yes</v>
      </c>
      <c r="G65" t="s">
        <v>770</v>
      </c>
      <c r="J65">
        <f t="shared" si="3"/>
        <v>63</v>
      </c>
    </row>
    <row r="66" spans="1:10" hidden="1" x14ac:dyDescent="0.15">
      <c r="A66" t="s">
        <v>118</v>
      </c>
      <c r="B66" s="2" t="s">
        <v>547</v>
      </c>
      <c r="C66" s="2" t="str">
        <f>IFERROR(
  INDEX(Sheet1!$B$1:$N$1,
    MATCH(B66,
      INDEX(Sheet1!$B$2:$N$170,
        MATCH($A66,Sheet1!$A$2:$A$170,0),
        0
      ),
      0
    )
  ),
  ""
)</f>
        <v>14</v>
      </c>
      <c r="D66" t="s">
        <v>692</v>
      </c>
      <c r="E66" t="s">
        <v>710</v>
      </c>
      <c r="F66" t="str">
        <f t="shared" ref="F66:F97" si="4">IF(E66&lt;&gt;"","Yes","No")</f>
        <v>Yes</v>
      </c>
      <c r="G66" t="s">
        <v>770</v>
      </c>
      <c r="J66">
        <f t="shared" ref="J66:J97" si="5">IFERROR(VALUE(SUBSTITUTE(SUBSTITUTE(A66,"GPIO",""),"号","")),"")</f>
        <v>64</v>
      </c>
    </row>
    <row r="67" spans="1:10" hidden="1" x14ac:dyDescent="0.15">
      <c r="A67" t="s">
        <v>119</v>
      </c>
      <c r="B67" s="2" t="s">
        <v>550</v>
      </c>
      <c r="C67" s="2" t="str">
        <f>IFERROR(
  INDEX(Sheet1!$B$1:$N$1,
    MATCH(B67,
      INDEX(Sheet1!$B$2:$N$170,
        MATCH($A67,Sheet1!$A$2:$A$170,0),
        0
      ),
      0
    )
  ),
  ""
)</f>
        <v>14</v>
      </c>
      <c r="D67" t="s">
        <v>692</v>
      </c>
      <c r="E67" t="s">
        <v>709</v>
      </c>
      <c r="F67" t="str">
        <f t="shared" si="4"/>
        <v>Yes</v>
      </c>
      <c r="G67" t="s">
        <v>770</v>
      </c>
      <c r="J67">
        <f t="shared" si="5"/>
        <v>65</v>
      </c>
    </row>
    <row r="68" spans="1:10" hidden="1" x14ac:dyDescent="0.15">
      <c r="A68" t="s">
        <v>120</v>
      </c>
      <c r="B68" s="2" t="s">
        <v>553</v>
      </c>
      <c r="C68" s="2" t="str">
        <f>IFERROR(
  INDEX(Sheet1!$B$1:$N$1,
    MATCH(B68,
      INDEX(Sheet1!$B$2:$N$170,
        MATCH($A68,Sheet1!$A$2:$A$170,0),
        0
      ),
      0
    )
  ),
  ""
)</f>
        <v>14</v>
      </c>
      <c r="D68" t="s">
        <v>692</v>
      </c>
      <c r="E68" t="s">
        <v>708</v>
      </c>
      <c r="F68" t="str">
        <f t="shared" si="4"/>
        <v>Yes</v>
      </c>
      <c r="G68" t="s">
        <v>770</v>
      </c>
      <c r="J68">
        <f t="shared" si="5"/>
        <v>66</v>
      </c>
    </row>
    <row r="69" spans="1:10" hidden="1" x14ac:dyDescent="0.15">
      <c r="A69" t="s">
        <v>121</v>
      </c>
      <c r="B69" s="2"/>
      <c r="C69" s="2" t="str">
        <f>IFERROR(
  INDEX(Sheet1!$B$1:$N$1,
    MATCH(B69,
      INDEX(Sheet1!$B$2:$N$170,
        MATCH($A69,Sheet1!$A$2:$A$170,0),
        0
      ),
      0
    )
  ),
  ""
)</f>
        <v/>
      </c>
      <c r="F69" t="str">
        <f t="shared" si="4"/>
        <v>No</v>
      </c>
      <c r="J69">
        <f t="shared" si="5"/>
        <v>67</v>
      </c>
    </row>
    <row r="70" spans="1:10" hidden="1" x14ac:dyDescent="0.15">
      <c r="A70" t="s">
        <v>122</v>
      </c>
      <c r="B70" s="2" t="s">
        <v>559</v>
      </c>
      <c r="C70" s="2" t="str">
        <f>IFERROR(
  INDEX(Sheet1!$B$1:$N$1,
    MATCH(B70,
      INDEX(Sheet1!$B$2:$N$170,
        MATCH($A70,Sheet1!$A$2:$A$170,0),
        0
      ),
      0
    )
  ),
  ""
)</f>
        <v>14</v>
      </c>
      <c r="D70" t="s">
        <v>692</v>
      </c>
      <c r="E70" t="s">
        <v>724</v>
      </c>
      <c r="F70" t="str">
        <f t="shared" si="4"/>
        <v>Yes</v>
      </c>
      <c r="G70" t="s">
        <v>770</v>
      </c>
      <c r="J70">
        <f t="shared" si="5"/>
        <v>68</v>
      </c>
    </row>
    <row r="71" spans="1:10" hidden="1" x14ac:dyDescent="0.15">
      <c r="A71" t="s">
        <v>123</v>
      </c>
      <c r="B71" s="2" t="s">
        <v>561</v>
      </c>
      <c r="C71" s="2" t="str">
        <f>IFERROR(
  INDEX(Sheet1!$B$1:$N$1,
    MATCH(B71,
      INDEX(Sheet1!$B$2:$N$170,
        MATCH($A71,Sheet1!$A$2:$A$170,0),
        0
      ),
      0
    )
  ),
  ""
)</f>
        <v>14</v>
      </c>
      <c r="D71" t="s">
        <v>692</v>
      </c>
      <c r="E71" t="s">
        <v>714</v>
      </c>
      <c r="F71" t="str">
        <f t="shared" si="4"/>
        <v>Yes</v>
      </c>
      <c r="G71" t="s">
        <v>770</v>
      </c>
      <c r="J71">
        <f t="shared" si="5"/>
        <v>69</v>
      </c>
    </row>
    <row r="72" spans="1:10" hidden="1" x14ac:dyDescent="0.15">
      <c r="A72" t="s">
        <v>124</v>
      </c>
      <c r="B72" s="2" t="s">
        <v>563</v>
      </c>
      <c r="C72" s="2" t="str">
        <f>IFERROR(
  INDEX(Sheet1!$B$1:$N$1,
    MATCH(B72,
      INDEX(Sheet1!$B$2:$N$170,
        MATCH($A72,Sheet1!$A$2:$A$170,0),
        0
      ),
      0
    )
  ),
  ""
)</f>
        <v>14</v>
      </c>
      <c r="D72" t="s">
        <v>692</v>
      </c>
      <c r="E72" t="s">
        <v>713</v>
      </c>
      <c r="F72" t="str">
        <f t="shared" si="4"/>
        <v>Yes</v>
      </c>
      <c r="G72" t="s">
        <v>770</v>
      </c>
      <c r="J72">
        <f t="shared" si="5"/>
        <v>70</v>
      </c>
    </row>
    <row r="73" spans="1:10" hidden="1" x14ac:dyDescent="0.15">
      <c r="A73" t="s">
        <v>125</v>
      </c>
      <c r="B73" s="2" t="s">
        <v>565</v>
      </c>
      <c r="C73" s="2" t="str">
        <f>IFERROR(
  INDEX(Sheet1!$B$1:$N$1,
    MATCH(B73,
      INDEX(Sheet1!$B$2:$N$170,
        MATCH($A73,Sheet1!$A$2:$A$170,0),
        0
      ),
      0
    )
  ),
  ""
)</f>
        <v>14</v>
      </c>
      <c r="D73" t="s">
        <v>692</v>
      </c>
      <c r="E73" t="s">
        <v>712</v>
      </c>
      <c r="F73" t="str">
        <f t="shared" si="4"/>
        <v>Yes</v>
      </c>
      <c r="G73" t="s">
        <v>770</v>
      </c>
      <c r="J73">
        <f t="shared" si="5"/>
        <v>71</v>
      </c>
    </row>
    <row r="74" spans="1:10" hidden="1" x14ac:dyDescent="0.15">
      <c r="A74" t="s">
        <v>126</v>
      </c>
      <c r="B74" s="2"/>
      <c r="C74" s="2" t="str">
        <f>IFERROR(
  INDEX(Sheet1!$B$1:$N$1,
    MATCH(B74,
      INDEX(Sheet1!$B$2:$N$170,
        MATCH($A74,Sheet1!$A$2:$A$170,0),
        0
      ),
      0
    )
  ),
  ""
)</f>
        <v/>
      </c>
      <c r="F74" t="str">
        <f t="shared" si="4"/>
        <v>No</v>
      </c>
      <c r="J74">
        <f t="shared" si="5"/>
        <v>72</v>
      </c>
    </row>
    <row r="75" spans="1:10" hidden="1" x14ac:dyDescent="0.15">
      <c r="A75" t="s">
        <v>127</v>
      </c>
      <c r="B75" s="2" t="s">
        <v>571</v>
      </c>
      <c r="C75" s="2" t="str">
        <f>IFERROR(
  INDEX(Sheet1!$B$1:$N$1,
    MATCH(B75,
      INDEX(Sheet1!$B$2:$N$170,
        MATCH($A75,Sheet1!$A$2:$A$170,0),
        0
      ),
      0
    )
  ),
  ""
)</f>
        <v>14</v>
      </c>
      <c r="D75" t="s">
        <v>692</v>
      </c>
      <c r="E75" t="s">
        <v>702</v>
      </c>
      <c r="F75" t="str">
        <f t="shared" si="4"/>
        <v>Yes</v>
      </c>
      <c r="G75" t="s">
        <v>770</v>
      </c>
      <c r="J75">
        <f t="shared" si="5"/>
        <v>73</v>
      </c>
    </row>
    <row r="76" spans="1:10" hidden="1" x14ac:dyDescent="0.15">
      <c r="A76" t="s">
        <v>128</v>
      </c>
      <c r="B76" s="2" t="s">
        <v>573</v>
      </c>
      <c r="C76" s="2" t="str">
        <f>IFERROR(
  INDEX(Sheet1!$B$1:$N$1,
    MATCH(B76,
      INDEX(Sheet1!$B$2:$N$170,
        MATCH($A76,Sheet1!$A$2:$A$170,0),
        0
      ),
      0
    )
  ),
  ""
)</f>
        <v>14</v>
      </c>
      <c r="D76" t="s">
        <v>692</v>
      </c>
      <c r="E76" t="s">
        <v>705</v>
      </c>
      <c r="F76" t="str">
        <f t="shared" si="4"/>
        <v>Yes</v>
      </c>
      <c r="G76" t="s">
        <v>770</v>
      </c>
      <c r="J76">
        <f t="shared" si="5"/>
        <v>74</v>
      </c>
    </row>
    <row r="77" spans="1:10" hidden="1" x14ac:dyDescent="0.15">
      <c r="A77" t="s">
        <v>129</v>
      </c>
      <c r="B77" s="2" t="s">
        <v>575</v>
      </c>
      <c r="C77" s="2" t="str">
        <f>IFERROR(
  INDEX(Sheet1!$B$1:$N$1,
    MATCH(B77,
      INDEX(Sheet1!$B$2:$N$170,
        MATCH($A77,Sheet1!$A$2:$A$170,0),
        0
      ),
      0
    )
  ),
  ""
)</f>
        <v>14</v>
      </c>
      <c r="D77" t="s">
        <v>692</v>
      </c>
      <c r="E77" t="s">
        <v>704</v>
      </c>
      <c r="F77" t="str">
        <f t="shared" si="4"/>
        <v>Yes</v>
      </c>
      <c r="G77" t="s">
        <v>770</v>
      </c>
      <c r="J77">
        <f t="shared" si="5"/>
        <v>75</v>
      </c>
    </row>
    <row r="78" spans="1:10" hidden="1" x14ac:dyDescent="0.15">
      <c r="A78" t="s">
        <v>130</v>
      </c>
      <c r="B78" s="2" t="s">
        <v>577</v>
      </c>
      <c r="C78" s="2" t="str">
        <f>IFERROR(
  INDEX(Sheet1!$B$1:$N$1,
    MATCH(B78,
      INDEX(Sheet1!$B$2:$N$170,
        MATCH($A78,Sheet1!$A$2:$A$170,0),
        0
      ),
      0
    )
  ),
  ""
)</f>
        <v>14</v>
      </c>
      <c r="D78" t="s">
        <v>692</v>
      </c>
      <c r="E78" t="s">
        <v>716</v>
      </c>
      <c r="F78" t="str">
        <f t="shared" si="4"/>
        <v>Yes</v>
      </c>
      <c r="G78" t="s">
        <v>770</v>
      </c>
      <c r="J78">
        <f t="shared" si="5"/>
        <v>76</v>
      </c>
    </row>
    <row r="79" spans="1:10" hidden="1" x14ac:dyDescent="0.15">
      <c r="A79" t="s">
        <v>131</v>
      </c>
      <c r="B79" s="2" t="s">
        <v>578</v>
      </c>
      <c r="C79" s="2" t="str">
        <f>IFERROR(
  INDEX(Sheet1!$B$1:$N$1,
    MATCH(B79,
      INDEX(Sheet1!$B$2:$N$170,
        MATCH($A79,Sheet1!$A$2:$A$170,0),
        0
      ),
      0
    )
  ),
  ""
)</f>
        <v>14</v>
      </c>
      <c r="D79" t="s">
        <v>692</v>
      </c>
      <c r="E79" t="s">
        <v>578</v>
      </c>
      <c r="F79" t="str">
        <f t="shared" si="4"/>
        <v>Yes</v>
      </c>
      <c r="G79" t="s">
        <v>770</v>
      </c>
      <c r="J79">
        <f t="shared" si="5"/>
        <v>77</v>
      </c>
    </row>
    <row r="80" spans="1:10" hidden="1" x14ac:dyDescent="0.15">
      <c r="A80" t="s">
        <v>132</v>
      </c>
      <c r="B80" s="2" t="s">
        <v>579</v>
      </c>
      <c r="C80" s="2" t="str">
        <f>IFERROR(
  INDEX(Sheet1!$B$1:$N$1,
    MATCH(B80,
      INDEX(Sheet1!$B$2:$N$170,
        MATCH($A80,Sheet1!$A$2:$A$170,0),
        0
      ),
      0
    )
  ),
  ""
)</f>
        <v>14</v>
      </c>
      <c r="D80" t="s">
        <v>692</v>
      </c>
      <c r="E80" t="s">
        <v>579</v>
      </c>
      <c r="F80" t="str">
        <f t="shared" si="4"/>
        <v>Yes</v>
      </c>
      <c r="G80" t="s">
        <v>770</v>
      </c>
      <c r="J80">
        <f t="shared" si="5"/>
        <v>78</v>
      </c>
    </row>
    <row r="81" spans="1:10" hidden="1" x14ac:dyDescent="0.15">
      <c r="A81" t="s">
        <v>133</v>
      </c>
      <c r="B81" s="2" t="s">
        <v>580</v>
      </c>
      <c r="C81" s="2" t="str">
        <f>IFERROR(
  INDEX(Sheet1!$B$1:$N$1,
    MATCH(B81,
      INDEX(Sheet1!$B$2:$N$170,
        MATCH($A81,Sheet1!$A$2:$A$170,0),
        0
      ),
      0
    )
  ),
  ""
)</f>
        <v>14</v>
      </c>
      <c r="D81" t="s">
        <v>692</v>
      </c>
      <c r="E81" t="s">
        <v>715</v>
      </c>
      <c r="F81" t="str">
        <f t="shared" si="4"/>
        <v>Yes</v>
      </c>
      <c r="G81" t="s">
        <v>770</v>
      </c>
      <c r="J81">
        <f t="shared" si="5"/>
        <v>79</v>
      </c>
    </row>
    <row r="82" spans="1:10" hidden="1" x14ac:dyDescent="0.15">
      <c r="A82" t="s">
        <v>134</v>
      </c>
      <c r="B82" s="2" t="s">
        <v>581</v>
      </c>
      <c r="C82" s="2" t="str">
        <f>IFERROR(
  INDEX(Sheet1!$B$1:$N$1,
    MATCH(B82,
      INDEX(Sheet1!$B$2:$N$170,
        MATCH($A82,Sheet1!$A$2:$A$170,0),
        0
      ),
      0
    )
  ),
  ""
)</f>
        <v>14</v>
      </c>
      <c r="D82" t="s">
        <v>692</v>
      </c>
      <c r="E82" t="s">
        <v>698</v>
      </c>
      <c r="F82" t="str">
        <f t="shared" si="4"/>
        <v>Yes</v>
      </c>
      <c r="G82" t="s">
        <v>770</v>
      </c>
      <c r="J82">
        <f t="shared" si="5"/>
        <v>80</v>
      </c>
    </row>
    <row r="83" spans="1:10" hidden="1" x14ac:dyDescent="0.15">
      <c r="A83" t="s">
        <v>135</v>
      </c>
      <c r="B83" s="2" t="s">
        <v>582</v>
      </c>
      <c r="C83" s="2" t="str">
        <f>IFERROR(
  INDEX(Sheet1!$B$1:$N$1,
    MATCH(B83,
      INDEX(Sheet1!$B$2:$N$170,
        MATCH($A83,Sheet1!$A$2:$A$170,0),
        0
      ),
      0
    )
  ),
  ""
)</f>
        <v>14</v>
      </c>
      <c r="D83" t="s">
        <v>692</v>
      </c>
      <c r="E83" t="s">
        <v>699</v>
      </c>
      <c r="F83" t="str">
        <f t="shared" si="4"/>
        <v>Yes</v>
      </c>
      <c r="G83" t="s">
        <v>770</v>
      </c>
      <c r="J83">
        <f t="shared" si="5"/>
        <v>81</v>
      </c>
    </row>
    <row r="84" spans="1:10" hidden="1" x14ac:dyDescent="0.15">
      <c r="A84" t="s">
        <v>136</v>
      </c>
      <c r="B84" s="2" t="s">
        <v>583</v>
      </c>
      <c r="C84" s="2" t="str">
        <f>IFERROR(
  INDEX(Sheet1!$B$1:$N$1,
    MATCH(B84,
      INDEX(Sheet1!$B$2:$N$170,
        MATCH($A84,Sheet1!$A$2:$A$170,0),
        0
      ),
      0
    )
  ),
  ""
)</f>
        <v>14</v>
      </c>
      <c r="D84" t="s">
        <v>692</v>
      </c>
      <c r="E84" t="s">
        <v>700</v>
      </c>
      <c r="F84" t="str">
        <f t="shared" si="4"/>
        <v>Yes</v>
      </c>
      <c r="G84" t="s">
        <v>770</v>
      </c>
      <c r="J84">
        <f t="shared" si="5"/>
        <v>82</v>
      </c>
    </row>
    <row r="85" spans="1:10" hidden="1" x14ac:dyDescent="0.15">
      <c r="A85" t="s">
        <v>137</v>
      </c>
      <c r="B85" s="2" t="s">
        <v>584</v>
      </c>
      <c r="C85" s="2" t="str">
        <f>IFERROR(
  INDEX(Sheet1!$B$1:$N$1,
    MATCH(B85,
      INDEX(Sheet1!$B$2:$N$170,
        MATCH($A85,Sheet1!$A$2:$A$170,0),
        0
      ),
      0
    )
  ),
  ""
)</f>
        <v>14</v>
      </c>
      <c r="D85" t="s">
        <v>692</v>
      </c>
      <c r="E85" t="s">
        <v>701</v>
      </c>
      <c r="F85" t="str">
        <f t="shared" si="4"/>
        <v>Yes</v>
      </c>
      <c r="G85" t="s">
        <v>770</v>
      </c>
      <c r="J85">
        <f t="shared" si="5"/>
        <v>83</v>
      </c>
    </row>
    <row r="86" spans="1:10" hidden="1" x14ac:dyDescent="0.15">
      <c r="A86" t="s">
        <v>138</v>
      </c>
      <c r="B86" s="2"/>
      <c r="C86" s="2" t="str">
        <f>IFERROR(
  INDEX(Sheet1!$B$1:$N$1,
    MATCH(B86,
      INDEX(Sheet1!$B$2:$N$170,
        MATCH($A86,Sheet1!$A$2:$A$170,0),
        0
      ),
      0
    )
  ),
  ""
)</f>
        <v/>
      </c>
      <c r="F86" t="str">
        <f t="shared" si="4"/>
        <v>No</v>
      </c>
      <c r="J86">
        <f t="shared" si="5"/>
        <v>84</v>
      </c>
    </row>
    <row r="87" spans="1:10" hidden="1" x14ac:dyDescent="0.15">
      <c r="A87" t="s">
        <v>139</v>
      </c>
      <c r="B87" s="2" t="s">
        <v>586</v>
      </c>
      <c r="C87" s="2" t="str">
        <f>IFERROR(
  INDEX(Sheet1!$B$1:$N$1,
    MATCH(B87,
      INDEX(Sheet1!$B$2:$N$170,
        MATCH($A87,Sheet1!$A$2:$A$170,0),
        0
      ),
      0
    )
  ),
  ""
)</f>
        <v>14</v>
      </c>
      <c r="D87" t="s">
        <v>692</v>
      </c>
      <c r="E87" t="s">
        <v>707</v>
      </c>
      <c r="F87" t="str">
        <f t="shared" si="4"/>
        <v>Yes</v>
      </c>
      <c r="G87" t="s">
        <v>770</v>
      </c>
      <c r="J87">
        <f t="shared" si="5"/>
        <v>85</v>
      </c>
    </row>
    <row r="88" spans="1:10" hidden="1" x14ac:dyDescent="0.15">
      <c r="A88" t="s">
        <v>140</v>
      </c>
      <c r="B88" s="2"/>
      <c r="C88" s="2" t="str">
        <f>IFERROR(
  INDEX(Sheet1!$B$1:$N$1,
    MATCH(B88,
      INDEX(Sheet1!$B$2:$N$170,
        MATCH($A88,Sheet1!$A$2:$A$170,0),
        0
      ),
      0
    )
  ),
  ""
)</f>
        <v/>
      </c>
      <c r="F88" t="str">
        <f t="shared" si="4"/>
        <v>No</v>
      </c>
      <c r="J88">
        <f t="shared" si="5"/>
        <v>86</v>
      </c>
    </row>
    <row r="89" spans="1:10" hidden="1" x14ac:dyDescent="0.15">
      <c r="A89" t="s">
        <v>141</v>
      </c>
      <c r="B89" s="2" t="s">
        <v>590</v>
      </c>
      <c r="C89" s="2" t="str">
        <f>IFERROR(
  INDEX(Sheet1!$B$1:$N$1,
    MATCH(B89,
      INDEX(Sheet1!$B$2:$N$170,
        MATCH($A89,Sheet1!$A$2:$A$170,0),
        0
      ),
      0
    )
  ),
  ""
)</f>
        <v>14</v>
      </c>
      <c r="D89" t="s">
        <v>692</v>
      </c>
      <c r="E89" t="s">
        <v>706</v>
      </c>
      <c r="F89" t="str">
        <f t="shared" si="4"/>
        <v>Yes</v>
      </c>
      <c r="G89" t="s">
        <v>770</v>
      </c>
      <c r="J89">
        <f t="shared" si="5"/>
        <v>87</v>
      </c>
    </row>
    <row r="90" spans="1:10" hidden="1" x14ac:dyDescent="0.15">
      <c r="A90" t="s">
        <v>142</v>
      </c>
      <c r="B90" s="2"/>
      <c r="C90" s="2" t="str">
        <f>IFERROR(
  INDEX(Sheet1!$B$1:$N$1,
    MATCH(B90,
      INDEX(Sheet1!$B$2:$N$170,
        MATCH($A90,Sheet1!$A$2:$A$170,0),
        0
      ),
      0
    )
  ),
  ""
)</f>
        <v/>
      </c>
      <c r="D90" t="s">
        <v>768</v>
      </c>
      <c r="E90" t="s">
        <v>812</v>
      </c>
      <c r="F90" t="str">
        <f t="shared" si="4"/>
        <v>Yes</v>
      </c>
      <c r="J90">
        <f t="shared" si="5"/>
        <v>88</v>
      </c>
    </row>
    <row r="91" spans="1:10" hidden="1" x14ac:dyDescent="0.15">
      <c r="A91" t="s">
        <v>143</v>
      </c>
      <c r="B91" s="2" t="s">
        <v>330</v>
      </c>
      <c r="C91" s="2" t="str">
        <f>IFERROR(
  INDEX(Sheet1!$B$1:$N$1,
    MATCH(B91,
      INDEX(Sheet1!$B$2:$N$170,
        MATCH($A91,Sheet1!$A$2:$A$170,0),
        0
      ),
      0
    )
  ),
  ""
)</f>
        <v>6</v>
      </c>
      <c r="D91" t="s">
        <v>768</v>
      </c>
      <c r="E91" t="s">
        <v>815</v>
      </c>
      <c r="F91" t="str">
        <f t="shared" si="4"/>
        <v>Yes</v>
      </c>
      <c r="J91">
        <f t="shared" si="5"/>
        <v>89</v>
      </c>
    </row>
    <row r="92" spans="1:10" hidden="1" x14ac:dyDescent="0.15">
      <c r="A92" t="s">
        <v>144</v>
      </c>
      <c r="B92" s="2" t="s">
        <v>336</v>
      </c>
      <c r="C92" s="2" t="str">
        <f>IFERROR(
  INDEX(Sheet1!$B$1:$N$1,
    MATCH(B92,
      INDEX(Sheet1!$B$2:$N$170,
        MATCH($A92,Sheet1!$A$2:$A$170,0),
        0
      ),
      0
    )
  ),
  ""
)</f>
        <v>6</v>
      </c>
      <c r="D92" t="s">
        <v>768</v>
      </c>
      <c r="E92" t="s">
        <v>816</v>
      </c>
      <c r="F92" t="str">
        <f t="shared" si="4"/>
        <v>Yes</v>
      </c>
      <c r="J92">
        <f t="shared" si="5"/>
        <v>90</v>
      </c>
    </row>
    <row r="93" spans="1:10" hidden="1" x14ac:dyDescent="0.15">
      <c r="A93" t="s">
        <v>145</v>
      </c>
      <c r="B93" s="2" t="s">
        <v>447</v>
      </c>
      <c r="C93" s="2" t="str">
        <f>IFERROR(
  INDEX(Sheet1!$B$1:$N$1,
    MATCH(B93,
      INDEX(Sheet1!$B$2:$N$170,
        MATCH($A93,Sheet1!$A$2:$A$170,0),
        0
      ),
      0
    )
  ),
  ""
)</f>
        <v>15</v>
      </c>
      <c r="D93" t="s">
        <v>240</v>
      </c>
      <c r="E93" t="s">
        <v>748</v>
      </c>
      <c r="F93" t="str">
        <f t="shared" si="4"/>
        <v>Yes</v>
      </c>
      <c r="J93">
        <f t="shared" si="5"/>
        <v>91</v>
      </c>
    </row>
    <row r="94" spans="1:10" hidden="1" x14ac:dyDescent="0.15">
      <c r="A94" t="s">
        <v>146</v>
      </c>
      <c r="B94" s="2" t="s">
        <v>452</v>
      </c>
      <c r="C94" s="2" t="str">
        <f>IFERROR(
  INDEX(Sheet1!$B$1:$N$1,
    MATCH(B94,
      INDEX(Sheet1!$B$2:$N$170,
        MATCH($A94,Sheet1!$A$2:$A$170,0),
        0
      ),
      0
    )
  ),
  ""
)</f>
        <v>15</v>
      </c>
      <c r="D94" t="s">
        <v>240</v>
      </c>
      <c r="E94" t="s">
        <v>749</v>
      </c>
      <c r="F94" t="str">
        <f t="shared" si="4"/>
        <v>Yes</v>
      </c>
      <c r="J94">
        <f t="shared" si="5"/>
        <v>92</v>
      </c>
    </row>
    <row r="95" spans="1:10" hidden="1" x14ac:dyDescent="0.15">
      <c r="A95" t="s">
        <v>147</v>
      </c>
      <c r="B95" s="2" t="s">
        <v>456</v>
      </c>
      <c r="C95" s="2" t="str">
        <f>IFERROR(
  INDEX(Sheet1!$B$1:$N$1,
    MATCH(B95,
      INDEX(Sheet1!$B$2:$N$170,
        MATCH($A95,Sheet1!$A$2:$A$170,0),
        0
      ),
      0
    )
  ),
  ""
)</f>
        <v>15</v>
      </c>
      <c r="D95" t="s">
        <v>240</v>
      </c>
      <c r="E95" t="s">
        <v>751</v>
      </c>
      <c r="F95" t="str">
        <f t="shared" si="4"/>
        <v>Yes</v>
      </c>
      <c r="J95">
        <f t="shared" si="5"/>
        <v>93</v>
      </c>
    </row>
    <row r="96" spans="1:10" hidden="1" x14ac:dyDescent="0.15">
      <c r="A96" t="s">
        <v>148</v>
      </c>
      <c r="B96" s="2" t="s">
        <v>458</v>
      </c>
      <c r="C96" s="2" t="str">
        <f>IFERROR(
  INDEX(Sheet1!$B$1:$N$1,
    MATCH(B96,
      INDEX(Sheet1!$B$2:$N$170,
        MATCH($A96,Sheet1!$A$2:$A$170,0),
        0
      ),
      0
    )
  ),
  ""
)</f>
        <v>15</v>
      </c>
      <c r="D96" t="s">
        <v>240</v>
      </c>
      <c r="E96" t="s">
        <v>750</v>
      </c>
      <c r="F96" t="str">
        <f t="shared" si="4"/>
        <v>Yes</v>
      </c>
      <c r="J96">
        <f t="shared" si="5"/>
        <v>94</v>
      </c>
    </row>
    <row r="97" spans="1:10" hidden="1" x14ac:dyDescent="0.15">
      <c r="A97" t="s">
        <v>66</v>
      </c>
      <c r="B97" s="2" t="s">
        <v>327</v>
      </c>
      <c r="C97" s="2" t="str">
        <f>IFERROR(
  INDEX(Sheet1!$B$1:$N$1,
    MATCH(B97,
      INDEX(Sheet1!$B$2:$N$170,
        MATCH($A97,Sheet1!$A$2:$A$170,0),
        0
      ),
      0
    )
  ),
  ""
)</f>
        <v>1</v>
      </c>
      <c r="D97" t="s">
        <v>24</v>
      </c>
      <c r="E97" t="s">
        <v>759</v>
      </c>
      <c r="F97" t="str">
        <f t="shared" si="4"/>
        <v>Yes</v>
      </c>
      <c r="J97">
        <f t="shared" si="5"/>
        <v>12</v>
      </c>
    </row>
    <row r="98" spans="1:10" hidden="1" x14ac:dyDescent="0.15">
      <c r="A98" t="s">
        <v>150</v>
      </c>
      <c r="B98" s="2" t="s">
        <v>318</v>
      </c>
      <c r="C98" s="2" t="str">
        <f>IFERROR(
  INDEX(Sheet1!$B$1:$N$1,
    MATCH(B98,
      INDEX(Sheet1!$B$2:$N$170,
        MATCH($A98,Sheet1!$A$2:$A$170,0),
        0
      ),
      0
    )
  ),
  ""
)</f>
        <v>5</v>
      </c>
      <c r="D98" t="s">
        <v>675</v>
      </c>
      <c r="E98" t="s">
        <v>828</v>
      </c>
      <c r="F98" t="str">
        <f t="shared" ref="F98:F129" si="6">IF(E98&lt;&gt;"","Yes","No")</f>
        <v>Yes</v>
      </c>
      <c r="J98">
        <f t="shared" ref="J98:J129" si="7">IFERROR(VALUE(SUBSTITUTE(SUBSTITUTE(A98,"GPIO",""),"号","")),"")</f>
        <v>96</v>
      </c>
    </row>
    <row r="99" spans="1:10" hidden="1" x14ac:dyDescent="0.15">
      <c r="A99" t="s">
        <v>151</v>
      </c>
      <c r="B99" s="2" t="s">
        <v>324</v>
      </c>
      <c r="C99" s="2" t="str">
        <f>IFERROR(
  INDEX(Sheet1!$B$1:$N$1,
    MATCH(B99,
      INDEX(Sheet1!$B$2:$N$170,
        MATCH($A99,Sheet1!$A$2:$A$170,0),
        0
      ),
      0
    )
  ),
  ""
)</f>
        <v>5</v>
      </c>
      <c r="D99" t="s">
        <v>675</v>
      </c>
      <c r="E99" t="s">
        <v>827</v>
      </c>
      <c r="F99" t="str">
        <f t="shared" si="6"/>
        <v>Yes</v>
      </c>
      <c r="J99">
        <f t="shared" si="7"/>
        <v>97</v>
      </c>
    </row>
    <row r="100" spans="1:10" hidden="1" x14ac:dyDescent="0.15">
      <c r="A100" t="s">
        <v>152</v>
      </c>
      <c r="B100" s="2"/>
      <c r="C100" s="2" t="str">
        <f>IFERROR(
  INDEX(Sheet1!$B$1:$N$1,
    MATCH(B100,
      INDEX(Sheet1!$B$2:$N$170,
        MATCH($A100,Sheet1!$A$2:$A$170,0),
        0
      ),
      0
    )
  ),
  ""
)</f>
        <v/>
      </c>
      <c r="F100" t="str">
        <f t="shared" si="6"/>
        <v>No</v>
      </c>
      <c r="J100">
        <f t="shared" si="7"/>
        <v>98</v>
      </c>
    </row>
    <row r="101" spans="1:10" hidden="1" x14ac:dyDescent="0.15">
      <c r="A101" t="s">
        <v>153</v>
      </c>
      <c r="B101" s="2" t="s">
        <v>335</v>
      </c>
      <c r="C101" s="2" t="str">
        <f>IFERROR(
  INDEX(Sheet1!$B$1:$N$1,
    MATCH(B101,
      INDEX(Sheet1!$B$2:$N$170,
        MATCH($A101,Sheet1!$A$2:$A$170,0),
        0
      ),
      0
    )
  ),
  ""
)</f>
        <v>5</v>
      </c>
      <c r="D101" t="s">
        <v>826</v>
      </c>
      <c r="E101" s="5" t="s">
        <v>819</v>
      </c>
      <c r="F101" t="str">
        <f t="shared" si="6"/>
        <v>Yes</v>
      </c>
      <c r="J101">
        <f t="shared" si="7"/>
        <v>99</v>
      </c>
    </row>
    <row r="102" spans="1:10" hidden="1" x14ac:dyDescent="0.15">
      <c r="A102" t="s">
        <v>154</v>
      </c>
      <c r="B102" s="2" t="s">
        <v>376</v>
      </c>
      <c r="C102" s="2" t="str">
        <f>IFERROR(
  INDEX(Sheet1!$B$1:$N$1,
    MATCH(B102,
      INDEX(Sheet1!$B$2:$N$170,
        MATCH($A102,Sheet1!$A$2:$A$170,0),
        0
      ),
      0
    )
  ),
  ""
)</f>
        <v>6</v>
      </c>
      <c r="D102" t="s">
        <v>240</v>
      </c>
      <c r="E102" t="s">
        <v>777</v>
      </c>
      <c r="F102" t="str">
        <f t="shared" si="6"/>
        <v>Yes</v>
      </c>
      <c r="J102">
        <f t="shared" si="7"/>
        <v>100</v>
      </c>
    </row>
    <row r="103" spans="1:10" hidden="1" x14ac:dyDescent="0.15">
      <c r="A103" t="s">
        <v>155</v>
      </c>
      <c r="B103" s="2" t="s">
        <v>383</v>
      </c>
      <c r="C103" s="2" t="str">
        <f>IFERROR(
  INDEX(Sheet1!$B$1:$N$1,
    MATCH(B103,
      INDEX(Sheet1!$B$2:$N$170,
        MATCH($A103,Sheet1!$A$2:$A$170,0),
        0
      ),
      0
    )
  ),
  ""
)</f>
        <v>6</v>
      </c>
      <c r="D103" t="s">
        <v>240</v>
      </c>
      <c r="E103" t="s">
        <v>778</v>
      </c>
      <c r="F103" t="str">
        <f t="shared" si="6"/>
        <v>Yes</v>
      </c>
      <c r="J103">
        <f t="shared" si="7"/>
        <v>101</v>
      </c>
    </row>
    <row r="104" spans="1:10" hidden="1" x14ac:dyDescent="0.15">
      <c r="A104" t="s">
        <v>156</v>
      </c>
      <c r="B104" s="2" t="s">
        <v>391</v>
      </c>
      <c r="C104" s="2" t="str">
        <f>IFERROR(
  INDEX(Sheet1!$B$1:$N$1,
    MATCH(B104,
      INDEX(Sheet1!$B$2:$N$170,
        MATCH($A104,Sheet1!$A$2:$A$170,0),
        0
      ),
      0
    )
  ),
  ""
)</f>
        <v>6</v>
      </c>
      <c r="D104" t="s">
        <v>240</v>
      </c>
      <c r="E104" t="s">
        <v>779</v>
      </c>
      <c r="F104" t="str">
        <f t="shared" si="6"/>
        <v>Yes</v>
      </c>
      <c r="J104">
        <f t="shared" si="7"/>
        <v>102</v>
      </c>
    </row>
    <row r="105" spans="1:10" hidden="1" x14ac:dyDescent="0.15">
      <c r="A105" t="s">
        <v>157</v>
      </c>
      <c r="B105" s="2" t="s">
        <v>399</v>
      </c>
      <c r="C105" s="2" t="str">
        <f>IFERROR(
  INDEX(Sheet1!$B$1:$N$1,
    MATCH(B105,
      INDEX(Sheet1!$B$2:$N$170,
        MATCH($A105,Sheet1!$A$2:$A$170,0),
        0
      ),
      0
    )
  ),
  ""
)</f>
        <v>6</v>
      </c>
      <c r="D105" t="s">
        <v>240</v>
      </c>
      <c r="E105" t="s">
        <v>780</v>
      </c>
      <c r="F105" t="str">
        <f t="shared" si="6"/>
        <v>Yes</v>
      </c>
      <c r="J105">
        <f t="shared" si="7"/>
        <v>103</v>
      </c>
    </row>
    <row r="106" spans="1:10" hidden="1" x14ac:dyDescent="0.15">
      <c r="A106" t="s">
        <v>158</v>
      </c>
      <c r="B106" s="2" t="s">
        <v>491</v>
      </c>
      <c r="C106" s="2" t="str">
        <f>IFERROR(
  INDEX(Sheet1!$B$1:$N$1,
    MATCH(B106,
      INDEX(Sheet1!$B$2:$N$170,
        MATCH($A106,Sheet1!$A$2:$A$170,0),
        0
      ),
      0
    )
  ),
  ""
)</f>
        <v>6</v>
      </c>
      <c r="D106" t="s">
        <v>768</v>
      </c>
      <c r="E106" t="s">
        <v>813</v>
      </c>
      <c r="F106" t="str">
        <f t="shared" si="6"/>
        <v>Yes</v>
      </c>
      <c r="J106">
        <f t="shared" si="7"/>
        <v>104</v>
      </c>
    </row>
    <row r="107" spans="1:10" hidden="1" x14ac:dyDescent="0.15">
      <c r="A107" t="s">
        <v>159</v>
      </c>
      <c r="B107" s="2" t="s">
        <v>488</v>
      </c>
      <c r="C107" s="2" t="str">
        <f>IFERROR(
  INDEX(Sheet1!$B$1:$N$1,
    MATCH(B107,
      INDEX(Sheet1!$B$2:$N$170,
        MATCH($A107,Sheet1!$A$2:$A$170,0),
        0
      ),
      0
    )
  ),
  ""
)</f>
        <v>6</v>
      </c>
      <c r="D107" t="s">
        <v>768</v>
      </c>
      <c r="E107" t="s">
        <v>814</v>
      </c>
      <c r="F107" t="str">
        <f t="shared" si="6"/>
        <v>Yes</v>
      </c>
      <c r="J107">
        <f t="shared" si="7"/>
        <v>105</v>
      </c>
    </row>
    <row r="108" spans="1:10" hidden="1" x14ac:dyDescent="0.15">
      <c r="A108" t="s">
        <v>160</v>
      </c>
      <c r="B108" s="2"/>
      <c r="C108" s="2" t="str">
        <f>IFERROR(
  INDEX(Sheet1!$B$1:$N$1,
    MATCH(B108,
      INDEX(Sheet1!$B$2:$N$170,
        MATCH($A108,Sheet1!$A$2:$A$170,0),
        0
      ),
      0
    )
  ),
  ""
)</f>
        <v/>
      </c>
      <c r="D108" t="s">
        <v>768</v>
      </c>
      <c r="E108" t="s">
        <v>812</v>
      </c>
      <c r="F108" t="str">
        <f t="shared" si="6"/>
        <v>Yes</v>
      </c>
      <c r="J108">
        <f t="shared" si="7"/>
        <v>106</v>
      </c>
    </row>
    <row r="109" spans="1:10" hidden="1" x14ac:dyDescent="0.15">
      <c r="A109" t="s">
        <v>193</v>
      </c>
      <c r="B109" s="2"/>
      <c r="C109" s="2" t="str">
        <f>IFERROR(
  INDEX(Sheet1!$B$1:$N$1,
    MATCH(B109,
      INDEX(Sheet1!$B$2:$N$170,
        MATCH($A109,Sheet1!$A$2:$A$170,0),
        0
      ),
      0
    )
  ),
  ""
)</f>
        <v/>
      </c>
      <c r="D109" t="s">
        <v>9</v>
      </c>
      <c r="E109" t="s">
        <v>797</v>
      </c>
      <c r="F109" t="str">
        <f t="shared" si="6"/>
        <v>Yes</v>
      </c>
      <c r="J109">
        <f t="shared" si="7"/>
        <v>139</v>
      </c>
    </row>
    <row r="110" spans="1:10" hidden="1" x14ac:dyDescent="0.15">
      <c r="A110" t="s">
        <v>67</v>
      </c>
      <c r="B110" s="2" t="s">
        <v>333</v>
      </c>
      <c r="C110" s="2" t="str">
        <f>IFERROR(
  INDEX(Sheet1!$B$1:$N$1,
    MATCH(B110,
      INDEX(Sheet1!$B$2:$N$170,
        MATCH($A110,Sheet1!$A$2:$A$170,0),
        0
      ),
      0
    )
  ),
  ""
)</f>
        <v>1</v>
      </c>
      <c r="D110" t="s">
        <v>24</v>
      </c>
      <c r="E110" t="s">
        <v>756</v>
      </c>
      <c r="F110" t="str">
        <f t="shared" si="6"/>
        <v>Yes</v>
      </c>
      <c r="J110">
        <f t="shared" si="7"/>
        <v>13</v>
      </c>
    </row>
    <row r="111" spans="1:10" hidden="1" x14ac:dyDescent="0.15">
      <c r="A111" t="s">
        <v>68</v>
      </c>
      <c r="B111" s="2" t="s">
        <v>339</v>
      </c>
      <c r="C111" s="2" t="str">
        <f>IFERROR(
  INDEX(Sheet1!$B$1:$N$1,
    MATCH(B111,
      INDEX(Sheet1!$B$2:$N$170,
        MATCH($A111,Sheet1!$A$2:$A$170,0),
        0
      ),
      0
    )
  ),
  ""
)</f>
        <v>1</v>
      </c>
      <c r="D111" t="s">
        <v>24</v>
      </c>
      <c r="E111" t="s">
        <v>760</v>
      </c>
      <c r="F111" t="str">
        <f t="shared" si="6"/>
        <v>Yes</v>
      </c>
      <c r="J111">
        <f t="shared" si="7"/>
        <v>14</v>
      </c>
    </row>
    <row r="112" spans="1:10" hidden="1" x14ac:dyDescent="0.15">
      <c r="A112" t="s">
        <v>164</v>
      </c>
      <c r="B112" s="2"/>
      <c r="C112" s="2" t="str">
        <f>IFERROR(
  INDEX(Sheet1!$B$1:$N$1,
    MATCH(B112,
      INDEX(Sheet1!$B$2:$N$170,
        MATCH($A112,Sheet1!$A$2:$A$170,0),
        0
      ),
      0
    )
  ),
  ""
)</f>
        <v/>
      </c>
      <c r="D112" t="s">
        <v>9</v>
      </c>
      <c r="E112" t="s">
        <v>801</v>
      </c>
      <c r="F112" t="str">
        <f t="shared" si="6"/>
        <v>Yes</v>
      </c>
      <c r="J112">
        <f t="shared" si="7"/>
        <v>110</v>
      </c>
    </row>
    <row r="113" spans="1:10" hidden="1" x14ac:dyDescent="0.15">
      <c r="A113" t="s">
        <v>165</v>
      </c>
      <c r="B113" s="2"/>
      <c r="C113" s="2" t="str">
        <f>IFERROR(
  INDEX(Sheet1!$B$1:$N$1,
    MATCH(B113,
      INDEX(Sheet1!$B$2:$N$170,
        MATCH($A113,Sheet1!$A$2:$A$170,0),
        0
      ),
      0
    )
  ),
  ""
)</f>
        <v/>
      </c>
      <c r="D113" t="s">
        <v>227</v>
      </c>
      <c r="E113" t="s">
        <v>165</v>
      </c>
      <c r="F113" t="str">
        <f t="shared" si="6"/>
        <v>Yes</v>
      </c>
      <c r="G113" t="s">
        <v>771</v>
      </c>
      <c r="J113">
        <f t="shared" si="7"/>
        <v>111</v>
      </c>
    </row>
    <row r="114" spans="1:10" hidden="1" x14ac:dyDescent="0.15">
      <c r="A114" t="s">
        <v>166</v>
      </c>
      <c r="B114" s="2"/>
      <c r="C114" s="2" t="str">
        <f>IFERROR(
  INDEX(Sheet1!$B$1:$N$1,
    MATCH(B114,
      INDEX(Sheet1!$B$2:$N$170,
        MATCH($A114,Sheet1!$A$2:$A$170,0),
        0
      ),
      0
    )
  ),
  ""
)</f>
        <v/>
      </c>
      <c r="D114" t="s">
        <v>227</v>
      </c>
      <c r="E114" t="s">
        <v>166</v>
      </c>
      <c r="F114" t="str">
        <f t="shared" si="6"/>
        <v>Yes</v>
      </c>
      <c r="G114" t="s">
        <v>771</v>
      </c>
      <c r="J114">
        <f t="shared" si="7"/>
        <v>112</v>
      </c>
    </row>
    <row r="115" spans="1:10" hidden="1" x14ac:dyDescent="0.15">
      <c r="A115" t="s">
        <v>167</v>
      </c>
      <c r="B115" s="2"/>
      <c r="C115" s="2" t="str">
        <f>IFERROR(
  INDEX(Sheet1!$B$1:$N$1,
    MATCH(B115,
      INDEX(Sheet1!$B$2:$N$170,
        MATCH($A115,Sheet1!$A$2:$A$170,0),
        0
      ),
      0
    )
  ),
  ""
)</f>
        <v/>
      </c>
      <c r="D115" t="s">
        <v>227</v>
      </c>
      <c r="E115" t="s">
        <v>167</v>
      </c>
      <c r="F115" t="str">
        <f t="shared" si="6"/>
        <v>Yes</v>
      </c>
      <c r="G115" t="s">
        <v>771</v>
      </c>
      <c r="J115">
        <f t="shared" si="7"/>
        <v>113</v>
      </c>
    </row>
    <row r="116" spans="1:10" hidden="1" x14ac:dyDescent="0.15">
      <c r="A116" t="s">
        <v>168</v>
      </c>
      <c r="B116" s="2"/>
      <c r="C116" s="2" t="str">
        <f>IFERROR(
  INDEX(Sheet1!$B$1:$N$1,
    MATCH(B116,
      INDEX(Sheet1!$B$2:$N$170,
        MATCH($A116,Sheet1!$A$2:$A$170,0),
        0
      ),
      0
    )
  ),
  ""
)</f>
        <v/>
      </c>
      <c r="D116" t="s">
        <v>227</v>
      </c>
      <c r="E116" t="s">
        <v>168</v>
      </c>
      <c r="F116" t="str">
        <f t="shared" si="6"/>
        <v>Yes</v>
      </c>
      <c r="G116" t="s">
        <v>771</v>
      </c>
      <c r="J116">
        <f t="shared" si="7"/>
        <v>114</v>
      </c>
    </row>
    <row r="117" spans="1:10" hidden="1" x14ac:dyDescent="0.15">
      <c r="A117" t="s">
        <v>169</v>
      </c>
      <c r="B117" s="2"/>
      <c r="C117" s="2" t="str">
        <f>IFERROR(
  INDEX(Sheet1!$B$1:$N$1,
    MATCH(B117,
      INDEX(Sheet1!$B$2:$N$170,
        MATCH($A117,Sheet1!$A$2:$A$170,0),
        0
      ),
      0
    )
  ),
  ""
)</f>
        <v/>
      </c>
      <c r="D117" t="s">
        <v>227</v>
      </c>
      <c r="E117" t="s">
        <v>228</v>
      </c>
      <c r="F117" t="str">
        <f t="shared" si="6"/>
        <v>Yes</v>
      </c>
      <c r="G117" t="s">
        <v>781</v>
      </c>
      <c r="J117">
        <f t="shared" si="7"/>
        <v>115</v>
      </c>
    </row>
    <row r="118" spans="1:10" hidden="1" x14ac:dyDescent="0.15">
      <c r="A118" t="s">
        <v>170</v>
      </c>
      <c r="B118" s="2"/>
      <c r="C118" s="2" t="str">
        <f>IFERROR(
  INDEX(Sheet1!$B$1:$N$1,
    MATCH(B118,
      INDEX(Sheet1!$B$2:$N$170,
        MATCH($A118,Sheet1!$A$2:$A$170,0),
        0
      ),
      0
    )
  ),
  ""
)</f>
        <v/>
      </c>
      <c r="D118" t="s">
        <v>227</v>
      </c>
      <c r="E118" t="s">
        <v>229</v>
      </c>
      <c r="F118" t="str">
        <f t="shared" si="6"/>
        <v>Yes</v>
      </c>
      <c r="G118" t="s">
        <v>781</v>
      </c>
      <c r="J118">
        <f t="shared" si="7"/>
        <v>116</v>
      </c>
    </row>
    <row r="119" spans="1:10" hidden="1" x14ac:dyDescent="0.15">
      <c r="A119" t="s">
        <v>69</v>
      </c>
      <c r="B119" s="2" t="s">
        <v>343</v>
      </c>
      <c r="C119" s="2" t="str">
        <f>IFERROR(
  INDEX(Sheet1!$B$1:$N$1,
    MATCH(B119,
      INDEX(Sheet1!$B$2:$N$170,
        MATCH($A119,Sheet1!$A$2:$A$170,0),
        0
      ),
      0
    )
  ),
  ""
)</f>
        <v>1</v>
      </c>
      <c r="D119" t="s">
        <v>24</v>
      </c>
      <c r="E119" t="s">
        <v>757</v>
      </c>
      <c r="F119" t="str">
        <f t="shared" si="6"/>
        <v>Yes</v>
      </c>
      <c r="J119">
        <f t="shared" si="7"/>
        <v>15</v>
      </c>
    </row>
    <row r="120" spans="1:10" hidden="1" x14ac:dyDescent="0.15">
      <c r="A120" t="s">
        <v>161</v>
      </c>
      <c r="B120" s="2"/>
      <c r="C120" s="2" t="str">
        <f>IFERROR(
  INDEX(Sheet1!$B$1:$N$1,
    MATCH(B120,
      INDEX(Sheet1!$B$2:$N$170,
        MATCH($A120,Sheet1!$A$2:$A$170,0),
        0
      ),
      0
    )
  ),
  ""
)</f>
        <v/>
      </c>
      <c r="D120" t="s">
        <v>9</v>
      </c>
      <c r="E120" t="s">
        <v>818</v>
      </c>
      <c r="F120" t="str">
        <f t="shared" si="6"/>
        <v>Yes</v>
      </c>
      <c r="J120">
        <f t="shared" si="7"/>
        <v>107</v>
      </c>
    </row>
    <row r="121" spans="1:10" hidden="1" x14ac:dyDescent="0.15">
      <c r="A121" t="s">
        <v>173</v>
      </c>
      <c r="B121" s="2"/>
      <c r="C121" s="2" t="str">
        <f>IFERROR(
  INDEX(Sheet1!$B$1:$N$1,
    MATCH(B121,
      INDEX(Sheet1!$B$2:$N$170,
        MATCH($A121,Sheet1!$A$2:$A$170,0),
        0
      ),
      0
    )
  ),
  ""
)</f>
        <v/>
      </c>
      <c r="F121" t="str">
        <f t="shared" si="6"/>
        <v>No</v>
      </c>
      <c r="J121">
        <f t="shared" si="7"/>
        <v>119</v>
      </c>
    </row>
    <row r="122" spans="1:10" hidden="1" x14ac:dyDescent="0.15">
      <c r="A122" t="s">
        <v>174</v>
      </c>
      <c r="B122" s="2"/>
      <c r="C122" s="2" t="str">
        <f>IFERROR(
  INDEX(Sheet1!$B$1:$N$1,
    MATCH(B122,
      INDEX(Sheet1!$B$2:$N$170,
        MATCH($A122,Sheet1!$A$2:$A$170,0),
        0
      ),
      0
    )
  ),
  ""
)</f>
        <v/>
      </c>
      <c r="D122" t="s">
        <v>9</v>
      </c>
      <c r="E122" t="s">
        <v>834</v>
      </c>
      <c r="F122" t="str">
        <f t="shared" si="6"/>
        <v>Yes</v>
      </c>
      <c r="J122">
        <f t="shared" si="7"/>
        <v>120</v>
      </c>
    </row>
    <row r="123" spans="1:10" hidden="1" x14ac:dyDescent="0.15">
      <c r="A123" t="s">
        <v>175</v>
      </c>
      <c r="B123" s="2"/>
      <c r="C123" s="2" t="str">
        <f>IFERROR(
  INDEX(Sheet1!$B$1:$N$1,
    MATCH(B123,
      INDEX(Sheet1!$B$2:$N$170,
        MATCH($A123,Sheet1!$A$2:$A$170,0),
        0
      ),
      0
    )
  ),
  ""
)</f>
        <v/>
      </c>
      <c r="D123" t="s">
        <v>9</v>
      </c>
      <c r="E123" t="s">
        <v>802</v>
      </c>
      <c r="F123" t="str">
        <f t="shared" si="6"/>
        <v>Yes</v>
      </c>
      <c r="J123">
        <f t="shared" si="7"/>
        <v>121</v>
      </c>
    </row>
    <row r="124" spans="1:10" hidden="1" x14ac:dyDescent="0.15">
      <c r="A124" t="s">
        <v>176</v>
      </c>
      <c r="B124" s="2" t="s">
        <v>349</v>
      </c>
      <c r="C124" s="2" t="str">
        <f>IFERROR(
  INDEX(Sheet1!$B$1:$N$1,
    MATCH(B124,
      INDEX(Sheet1!$B$2:$N$170,
        MATCH($A124,Sheet1!$A$2:$A$170,0),
        0
      ),
      0
    )
  ),
  ""
)</f>
        <v>7</v>
      </c>
      <c r="D124" t="s">
        <v>49</v>
      </c>
      <c r="E124" t="s">
        <v>237</v>
      </c>
      <c r="F124" t="str">
        <f t="shared" si="6"/>
        <v>Yes</v>
      </c>
      <c r="J124">
        <f t="shared" si="7"/>
        <v>122</v>
      </c>
    </row>
    <row r="125" spans="1:10" hidden="1" x14ac:dyDescent="0.15">
      <c r="A125" t="s">
        <v>177</v>
      </c>
      <c r="B125" s="2" t="s">
        <v>355</v>
      </c>
      <c r="C125" s="2" t="str">
        <f>IFERROR(
  INDEX(Sheet1!$B$1:$N$1,
    MATCH(B125,
      INDEX(Sheet1!$B$2:$N$170,
        MATCH($A125,Sheet1!$A$2:$A$170,0),
        0
      ),
      0
    )
  ),
  ""
)</f>
        <v>7</v>
      </c>
      <c r="D125" t="s">
        <v>50</v>
      </c>
      <c r="E125" t="s">
        <v>236</v>
      </c>
      <c r="F125" t="str">
        <f t="shared" si="6"/>
        <v>Yes</v>
      </c>
      <c r="J125">
        <f t="shared" si="7"/>
        <v>123</v>
      </c>
    </row>
    <row r="126" spans="1:10" hidden="1" x14ac:dyDescent="0.15">
      <c r="A126" t="s">
        <v>178</v>
      </c>
      <c r="B126" s="2" t="s">
        <v>360</v>
      </c>
      <c r="C126" s="2" t="str">
        <f>IFERROR(
  INDEX(Sheet1!$B$1:$N$1,
    MATCH(B126,
      INDEX(Sheet1!$B$2:$N$170,
        MATCH($A126,Sheet1!$A$2:$A$170,0),
        0
      ),
      0
    )
  ),
  ""
)</f>
        <v>7</v>
      </c>
      <c r="D126" t="s">
        <v>49</v>
      </c>
      <c r="E126" t="s">
        <v>238</v>
      </c>
      <c r="F126" t="str">
        <f t="shared" si="6"/>
        <v>Yes</v>
      </c>
      <c r="J126">
        <f t="shared" si="7"/>
        <v>124</v>
      </c>
    </row>
    <row r="127" spans="1:10" hidden="1" x14ac:dyDescent="0.15">
      <c r="A127" t="s">
        <v>70</v>
      </c>
      <c r="B127" s="2" t="s">
        <v>348</v>
      </c>
      <c r="C127" s="2" t="str">
        <f>IFERROR(
  INDEX(Sheet1!$B$1:$N$1,
    MATCH(B127,
      INDEX(Sheet1!$B$2:$N$170,
        MATCH($A127,Sheet1!$A$2:$A$170,0),
        0
      ),
      0
    )
  ),
  ""
)</f>
        <v>5</v>
      </c>
      <c r="D127" t="s">
        <v>24</v>
      </c>
      <c r="E127" t="s">
        <v>761</v>
      </c>
      <c r="F127" t="str">
        <f t="shared" si="6"/>
        <v>Yes</v>
      </c>
      <c r="J127">
        <f t="shared" si="7"/>
        <v>16</v>
      </c>
    </row>
    <row r="128" spans="1:10" hidden="1" x14ac:dyDescent="0.15">
      <c r="A128" t="s">
        <v>180</v>
      </c>
      <c r="B128" s="2" t="s">
        <v>372</v>
      </c>
      <c r="C128" s="2" t="str">
        <f>IFERROR(
  INDEX(Sheet1!$B$1:$N$1,
    MATCH(B128,
      INDEX(Sheet1!$B$2:$N$170,
        MATCH($A128,Sheet1!$A$2:$A$170,0),
        0
      ),
      0
    )
  ),
  ""
)</f>
        <v>7</v>
      </c>
      <c r="D128" t="s">
        <v>49</v>
      </c>
      <c r="E128" t="s">
        <v>793</v>
      </c>
      <c r="F128" t="str">
        <f t="shared" si="6"/>
        <v>Yes</v>
      </c>
      <c r="G128" t="s">
        <v>796</v>
      </c>
      <c r="J128">
        <f t="shared" si="7"/>
        <v>126</v>
      </c>
    </row>
    <row r="129" spans="1:10" hidden="1" x14ac:dyDescent="0.15">
      <c r="A129" t="s">
        <v>181</v>
      </c>
      <c r="B129" s="2"/>
      <c r="C129" s="2" t="str">
        <f>IFERROR(
  INDEX(Sheet1!$B$1:$N$1,
    MATCH(B129,
      INDEX(Sheet1!$B$2:$N$170,
        MATCH($A129,Sheet1!$A$2:$A$170,0),
        0
      ),
      0
    )
  ),
  ""
)</f>
        <v/>
      </c>
      <c r="D129" t="s">
        <v>9</v>
      </c>
      <c r="E129" t="s">
        <v>829</v>
      </c>
      <c r="F129" t="str">
        <f t="shared" si="6"/>
        <v>Yes</v>
      </c>
      <c r="J129">
        <f t="shared" si="7"/>
        <v>127</v>
      </c>
    </row>
    <row r="130" spans="1:10" hidden="1" x14ac:dyDescent="0.15">
      <c r="A130" t="s">
        <v>182</v>
      </c>
      <c r="B130" s="2" t="s">
        <v>387</v>
      </c>
      <c r="C130" s="2" t="str">
        <f>IFERROR(
  INDEX(Sheet1!$B$1:$N$1,
    MATCH(B130,
      INDEX(Sheet1!$B$2:$N$170,
        MATCH($A130,Sheet1!$A$2:$A$170,0),
        0
      ),
      0
    )
  ),
  ""
)</f>
        <v>7</v>
      </c>
      <c r="D130" t="s">
        <v>49</v>
      </c>
      <c r="E130" t="s">
        <v>791</v>
      </c>
      <c r="F130" t="str">
        <f t="shared" ref="F130:F161" si="8">IF(E130&lt;&gt;"","Yes","No")</f>
        <v>Yes</v>
      </c>
      <c r="G130" t="s">
        <v>796</v>
      </c>
      <c r="J130">
        <f t="shared" ref="J130:J142" si="9">IFERROR(VALUE(SUBSTITUTE(SUBSTITUTE(A130,"GPIO",""),"号","")),"")</f>
        <v>128</v>
      </c>
    </row>
    <row r="131" spans="1:10" hidden="1" x14ac:dyDescent="0.15">
      <c r="A131" t="s">
        <v>183</v>
      </c>
      <c r="B131" s="2"/>
      <c r="C131" s="2" t="str">
        <f>IFERROR(
  INDEX(Sheet1!$B$1:$N$1,
    MATCH(B131,
      INDEX(Sheet1!$B$2:$N$170,
        MATCH($A131,Sheet1!$A$2:$A$170,0),
        0
      ),
      0
    )
  ),
  ""
)</f>
        <v/>
      </c>
      <c r="D131" t="s">
        <v>9</v>
      </c>
      <c r="E131" t="s">
        <v>832</v>
      </c>
      <c r="F131" t="str">
        <f t="shared" si="8"/>
        <v>Yes</v>
      </c>
      <c r="J131">
        <f t="shared" si="9"/>
        <v>129</v>
      </c>
    </row>
    <row r="132" spans="1:10" hidden="1" x14ac:dyDescent="0.15">
      <c r="A132" t="s">
        <v>184</v>
      </c>
      <c r="B132" s="2" t="s">
        <v>402</v>
      </c>
      <c r="C132" s="2" t="str">
        <f>IFERROR(
  INDEX(Sheet1!$B$1:$N$1,
    MATCH(B132,
      INDEX(Sheet1!$B$2:$N$170,
        MATCH($A132,Sheet1!$A$2:$A$170,0),
        0
      ),
      0
    )
  ),
  ""
)</f>
        <v>7</v>
      </c>
      <c r="D132" t="s">
        <v>49</v>
      </c>
      <c r="E132" t="s">
        <v>783</v>
      </c>
      <c r="F132" t="str">
        <f t="shared" si="8"/>
        <v>Yes</v>
      </c>
      <c r="J132">
        <f t="shared" si="9"/>
        <v>130</v>
      </c>
    </row>
    <row r="133" spans="1:10" hidden="1" x14ac:dyDescent="0.15">
      <c r="A133" t="s">
        <v>185</v>
      </c>
      <c r="B133" s="2" t="s">
        <v>410</v>
      </c>
      <c r="C133" s="2" t="str">
        <f>IFERROR(
  INDEX(Sheet1!$B$1:$N$1,
    MATCH(B133,
      INDEX(Sheet1!$B$2:$N$170,
        MATCH($A133,Sheet1!$A$2:$A$170,0),
        0
      ),
      0
    )
  ),
  ""
)</f>
        <v>7</v>
      </c>
      <c r="D133" t="s">
        <v>49</v>
      </c>
      <c r="E133" t="s">
        <v>785</v>
      </c>
      <c r="F133" t="str">
        <f t="shared" si="8"/>
        <v>Yes</v>
      </c>
      <c r="J133">
        <f t="shared" si="9"/>
        <v>131</v>
      </c>
    </row>
    <row r="134" spans="1:10" hidden="1" x14ac:dyDescent="0.15">
      <c r="A134" t="s">
        <v>186</v>
      </c>
      <c r="B134" s="2" t="s">
        <v>417</v>
      </c>
      <c r="C134" s="2" t="str">
        <f>IFERROR(
  INDEX(Sheet1!$B$1:$N$1,
    MATCH(B134,
      INDEX(Sheet1!$B$2:$N$170,
        MATCH($A134,Sheet1!$A$2:$A$170,0),
        0
      ),
      0
    )
  ),
  ""
)</f>
        <v>7</v>
      </c>
      <c r="D134" t="s">
        <v>49</v>
      </c>
      <c r="E134" t="s">
        <v>784</v>
      </c>
      <c r="F134" t="str">
        <f t="shared" si="8"/>
        <v>Yes</v>
      </c>
      <c r="J134">
        <f t="shared" si="9"/>
        <v>132</v>
      </c>
    </row>
    <row r="135" spans="1:10" hidden="1" x14ac:dyDescent="0.15">
      <c r="A135" t="s">
        <v>187</v>
      </c>
      <c r="B135" s="2"/>
      <c r="C135" s="2" t="str">
        <f>IFERROR(
  INDEX(Sheet1!$B$1:$N$1,
    MATCH(B135,
      INDEX(Sheet1!$B$2:$N$170,
        MATCH($A135,Sheet1!$A$2:$A$170,0),
        0
      ),
      0
    )
  ),
  ""
)</f>
        <v/>
      </c>
      <c r="D135" t="s">
        <v>768</v>
      </c>
      <c r="E135" t="s">
        <v>808</v>
      </c>
      <c r="F135" t="str">
        <f t="shared" si="8"/>
        <v>Yes</v>
      </c>
      <c r="J135">
        <f t="shared" si="9"/>
        <v>133</v>
      </c>
    </row>
    <row r="136" spans="1:10" hidden="1" x14ac:dyDescent="0.15">
      <c r="A136" t="s">
        <v>188</v>
      </c>
      <c r="B136" s="2" t="s">
        <v>431</v>
      </c>
      <c r="C136" s="2" t="str">
        <f>IFERROR(
  INDEX(Sheet1!$B$1:$N$1,
    MATCH(B136,
      INDEX(Sheet1!$B$2:$N$170,
        MATCH($A136,Sheet1!$A$2:$A$170,0),
        0
      ),
      0
    )
  ),
  ""
)</f>
        <v>7</v>
      </c>
      <c r="D136" t="s">
        <v>49</v>
      </c>
      <c r="E136" t="s">
        <v>792</v>
      </c>
      <c r="F136" t="str">
        <f t="shared" si="8"/>
        <v>Yes</v>
      </c>
      <c r="G136" t="s">
        <v>794</v>
      </c>
      <c r="J136">
        <f t="shared" si="9"/>
        <v>134</v>
      </c>
    </row>
    <row r="137" spans="1:10" hidden="1" x14ac:dyDescent="0.15">
      <c r="A137" t="s">
        <v>189</v>
      </c>
      <c r="B137" s="2" t="s">
        <v>567</v>
      </c>
      <c r="C137" s="2" t="str">
        <f>IFERROR(
  INDEX(Sheet1!$B$1:$N$1,
    MATCH(B137,
      INDEX(Sheet1!$B$2:$N$170,
        MATCH($A137,Sheet1!$A$2:$A$170,0),
        0
      ),
      0
    )
  ),
  ""
)</f>
        <v>14</v>
      </c>
      <c r="D137" t="s">
        <v>692</v>
      </c>
      <c r="E137" t="s">
        <v>703</v>
      </c>
      <c r="F137" t="str">
        <f t="shared" si="8"/>
        <v>Yes</v>
      </c>
      <c r="G137" t="s">
        <v>770</v>
      </c>
      <c r="J137">
        <f t="shared" si="9"/>
        <v>135</v>
      </c>
    </row>
    <row r="138" spans="1:10" hidden="1" x14ac:dyDescent="0.15">
      <c r="A138" t="s">
        <v>190</v>
      </c>
      <c r="B138" s="2" t="s">
        <v>442</v>
      </c>
      <c r="C138" s="2" t="str">
        <f>IFERROR(
  INDEX(Sheet1!$B$1:$N$1,
    MATCH(B138,
      INDEX(Sheet1!$B$2:$N$170,
        MATCH($A138,Sheet1!$A$2:$A$170,0),
        0
      ),
      0
    )
  ),
  ""
)</f>
        <v>7</v>
      </c>
      <c r="D138" t="s">
        <v>49</v>
      </c>
      <c r="E138" t="s">
        <v>790</v>
      </c>
      <c r="F138" t="str">
        <f t="shared" si="8"/>
        <v>Yes</v>
      </c>
      <c r="G138" t="s">
        <v>795</v>
      </c>
      <c r="J138">
        <f t="shared" si="9"/>
        <v>136</v>
      </c>
    </row>
    <row r="139" spans="1:10" hidden="1" x14ac:dyDescent="0.15">
      <c r="A139" t="s">
        <v>191</v>
      </c>
      <c r="B139" s="2" t="s">
        <v>310</v>
      </c>
      <c r="C139" s="2" t="str">
        <f>IFERROR(
  INDEX(Sheet1!$B$1:$N$1,
    MATCH(B139,
      INDEX(Sheet1!$B$2:$N$170,
        MATCH($A139,Sheet1!$A$2:$A$170,0),
        0
      ),
      0
    )
  ),
  ""
)</f>
        <v>6</v>
      </c>
      <c r="D139" t="s">
        <v>768</v>
      </c>
      <c r="E139" t="s">
        <v>809</v>
      </c>
      <c r="F139" t="str">
        <f t="shared" si="8"/>
        <v>Yes</v>
      </c>
      <c r="J139">
        <f t="shared" si="9"/>
        <v>137</v>
      </c>
    </row>
    <row r="140" spans="1:10" hidden="1" x14ac:dyDescent="0.15">
      <c r="A140" t="s">
        <v>192</v>
      </c>
      <c r="B140" s="2" t="s">
        <v>322</v>
      </c>
      <c r="C140" s="2" t="str">
        <f>IFERROR(
  INDEX(Sheet1!$B$1:$N$1,
    MATCH(B140,
      INDEX(Sheet1!$B$2:$N$170,
        MATCH($A140,Sheet1!$A$2:$A$170,0),
        0
      ),
      0
    )
  ),
  ""
)</f>
        <v>6</v>
      </c>
      <c r="D140" t="s">
        <v>768</v>
      </c>
      <c r="E140" t="s">
        <v>810</v>
      </c>
      <c r="F140" t="str">
        <f t="shared" si="8"/>
        <v>Yes</v>
      </c>
      <c r="J140">
        <f t="shared" si="9"/>
        <v>138</v>
      </c>
    </row>
    <row r="141" spans="1:10" hidden="1" x14ac:dyDescent="0.15">
      <c r="A141" t="s">
        <v>172</v>
      </c>
      <c r="B141" s="2"/>
      <c r="C141" s="2" t="str">
        <f>IFERROR(
  INDEX(Sheet1!$B$1:$N$1,
    MATCH(B141,
      INDEX(Sheet1!$B$2:$N$170,
        MATCH($A141,Sheet1!$A$2:$A$170,0),
        0
      ),
      0
    )
  ),
  ""
)</f>
        <v/>
      </c>
      <c r="D141" t="s">
        <v>9</v>
      </c>
      <c r="E141" t="s">
        <v>798</v>
      </c>
      <c r="F141" t="str">
        <f t="shared" si="8"/>
        <v>Yes</v>
      </c>
      <c r="J141">
        <f t="shared" si="9"/>
        <v>118</v>
      </c>
    </row>
    <row r="142" spans="1:10" hidden="1" x14ac:dyDescent="0.15">
      <c r="A142" t="s">
        <v>194</v>
      </c>
      <c r="B142" s="2"/>
      <c r="C142" s="2" t="str">
        <f>IFERROR(
  INDEX(Sheet1!$B$1:$N$1,
    MATCH(B142,
      INDEX(Sheet1!$B$2:$N$170,
        MATCH($A142,Sheet1!$A$2:$A$170,0),
        0
      ),
      0
    )
  ),
  ""
)</f>
        <v/>
      </c>
      <c r="F142" t="str">
        <f t="shared" si="8"/>
        <v>No</v>
      </c>
      <c r="J142">
        <f t="shared" si="9"/>
        <v>140</v>
      </c>
    </row>
    <row r="143" spans="1:10" hidden="1" x14ac:dyDescent="0.15">
      <c r="A143" t="s">
        <v>195</v>
      </c>
      <c r="B143" s="2"/>
      <c r="C143" s="2"/>
      <c r="F143" t="str">
        <f t="shared" si="8"/>
        <v>No</v>
      </c>
      <c r="J143">
        <v>141</v>
      </c>
    </row>
    <row r="144" spans="1:10" hidden="1" x14ac:dyDescent="0.15">
      <c r="A144" t="s">
        <v>196</v>
      </c>
      <c r="B144" s="2"/>
      <c r="C144" s="2" t="str">
        <f>IFERROR(
  INDEX(Sheet1!$B$1:$N$1,
    MATCH(B144,
      INDEX(Sheet1!$B$2:$N$170,
        MATCH($A144,Sheet1!$A$2:$A$170,0),
        0
      ),
      0
    )
  ),
  ""
)</f>
        <v/>
      </c>
      <c r="F144" t="str">
        <f t="shared" si="8"/>
        <v>No</v>
      </c>
      <c r="J144">
        <f t="shared" ref="J144:J154" si="10">IFERROR(VALUE(SUBSTITUTE(SUBSTITUTE(A144,"GPIO",""),"号","")),"")</f>
        <v>142</v>
      </c>
    </row>
    <row r="145" spans="1:10" hidden="1" x14ac:dyDescent="0.15">
      <c r="A145" t="s">
        <v>197</v>
      </c>
      <c r="B145" s="2" t="s">
        <v>521</v>
      </c>
      <c r="C145" s="2" t="str">
        <f>IFERROR(
  INDEX(Sheet1!$B$1:$N$1,
    MATCH(B145,
      INDEX(Sheet1!$B$2:$N$170,
        MATCH($A145,Sheet1!$A$2:$A$170,0),
        0
      ),
      0
    )
  ),
  ""
)</f>
        <v>14</v>
      </c>
      <c r="D145" t="s">
        <v>692</v>
      </c>
      <c r="E145" t="s">
        <v>717</v>
      </c>
      <c r="F145" t="str">
        <f t="shared" si="8"/>
        <v>Yes</v>
      </c>
      <c r="G145" t="s">
        <v>770</v>
      </c>
      <c r="J145">
        <f t="shared" si="10"/>
        <v>143</v>
      </c>
    </row>
    <row r="146" spans="1:10" hidden="1" x14ac:dyDescent="0.15">
      <c r="A146" t="s">
        <v>198</v>
      </c>
      <c r="B146" s="2" t="s">
        <v>525</v>
      </c>
      <c r="C146" s="2" t="str">
        <f>IFERROR(
  INDEX(Sheet1!$B$1:$N$1,
    MATCH(B146,
      INDEX(Sheet1!$B$2:$N$170,
        MATCH($A146,Sheet1!$A$2:$A$170,0),
        0
      ),
      0
    )
  ),
  ""
)</f>
        <v>14</v>
      </c>
      <c r="D146" t="s">
        <v>692</v>
      </c>
      <c r="E146" t="s">
        <v>718</v>
      </c>
      <c r="F146" t="str">
        <f t="shared" si="8"/>
        <v>Yes</v>
      </c>
      <c r="G146" t="s">
        <v>770</v>
      </c>
      <c r="J146">
        <f t="shared" si="10"/>
        <v>144</v>
      </c>
    </row>
    <row r="147" spans="1:10" hidden="1" x14ac:dyDescent="0.15">
      <c r="A147" t="s">
        <v>199</v>
      </c>
      <c r="B147" s="2" t="s">
        <v>530</v>
      </c>
      <c r="C147" s="2" t="str">
        <f>IFERROR(
  INDEX(Sheet1!$B$1:$N$1,
    MATCH(B147,
      INDEX(Sheet1!$B$2:$N$170,
        MATCH($A147,Sheet1!$A$2:$A$170,0),
        0
      ),
      0
    )
  ),
  ""
)</f>
        <v>14</v>
      </c>
      <c r="D147" t="s">
        <v>692</v>
      </c>
      <c r="E147" t="s">
        <v>530</v>
      </c>
      <c r="F147" t="str">
        <f t="shared" si="8"/>
        <v>Yes</v>
      </c>
      <c r="G147" t="s">
        <v>770</v>
      </c>
      <c r="J147">
        <f t="shared" si="10"/>
        <v>145</v>
      </c>
    </row>
    <row r="148" spans="1:10" hidden="1" x14ac:dyDescent="0.15">
      <c r="A148" t="s">
        <v>200</v>
      </c>
      <c r="B148" s="2" t="s">
        <v>535</v>
      </c>
      <c r="C148" s="2" t="str">
        <f>IFERROR(
  INDEX(Sheet1!$B$1:$N$1,
    MATCH(B148,
      INDEX(Sheet1!$B$2:$N$170,
        MATCH($A148,Sheet1!$A$2:$A$170,0),
        0
      ),
      0
    )
  ),
  ""
)</f>
        <v>14</v>
      </c>
      <c r="D148" t="s">
        <v>692</v>
      </c>
      <c r="E148" t="s">
        <v>535</v>
      </c>
      <c r="F148" t="str">
        <f t="shared" si="8"/>
        <v>Yes</v>
      </c>
      <c r="G148" t="s">
        <v>770</v>
      </c>
      <c r="J148">
        <f t="shared" si="10"/>
        <v>146</v>
      </c>
    </row>
    <row r="149" spans="1:10" hidden="1" x14ac:dyDescent="0.15">
      <c r="A149" t="s">
        <v>201</v>
      </c>
      <c r="B149" s="2"/>
      <c r="C149" s="2" t="str">
        <f>IFERROR(
  INDEX(Sheet1!$B$1:$N$1,
    MATCH(B149,
      INDEX(Sheet1!$B$2:$N$170,
        MATCH($A149,Sheet1!$A$2:$A$170,0),
        0
      ),
      0
    )
  ),
  ""
)</f>
        <v/>
      </c>
      <c r="D149" t="s">
        <v>820</v>
      </c>
      <c r="E149" t="s">
        <v>822</v>
      </c>
      <c r="F149" t="str">
        <f t="shared" si="8"/>
        <v>Yes</v>
      </c>
      <c r="J149">
        <f t="shared" si="10"/>
        <v>147</v>
      </c>
    </row>
    <row r="150" spans="1:10" hidden="1" x14ac:dyDescent="0.15">
      <c r="A150" t="s">
        <v>202</v>
      </c>
      <c r="B150" s="2" t="s">
        <v>588</v>
      </c>
      <c r="C150" s="2" t="str">
        <f>IFERROR(
  INDEX(Sheet1!$B$1:$N$1,
    MATCH(B150,
      INDEX(Sheet1!$B$2:$N$170,
        MATCH($A150,Sheet1!$A$2:$A$170,0),
        0
      ),
      0
    )
  ),
  ""
)</f>
        <v>14</v>
      </c>
      <c r="D150" t="s">
        <v>692</v>
      </c>
      <c r="E150" t="s">
        <v>693</v>
      </c>
      <c r="F150" t="str">
        <f t="shared" si="8"/>
        <v>Yes</v>
      </c>
      <c r="G150" t="s">
        <v>770</v>
      </c>
      <c r="J150">
        <f t="shared" si="10"/>
        <v>148</v>
      </c>
    </row>
    <row r="151" spans="1:10" hidden="1" x14ac:dyDescent="0.15">
      <c r="A151" t="s">
        <v>203</v>
      </c>
      <c r="B151" s="2"/>
      <c r="C151" s="2" t="str">
        <f>IFERROR(
  INDEX(Sheet1!$B$1:$N$1,
    MATCH(B151,
      INDEX(Sheet1!$B$2:$N$170,
        MATCH($A151,Sheet1!$A$2:$A$170,0),
        0
      ),
      0
    )
  ),
  ""
)</f>
        <v/>
      </c>
      <c r="F151" t="str">
        <f t="shared" si="8"/>
        <v>No</v>
      </c>
      <c r="J151">
        <f t="shared" si="10"/>
        <v>149</v>
      </c>
    </row>
    <row r="152" spans="1:10" hidden="1" x14ac:dyDescent="0.15">
      <c r="A152" t="s">
        <v>204</v>
      </c>
      <c r="B152" s="2" t="s">
        <v>437</v>
      </c>
      <c r="C152" s="2" t="str">
        <f>IFERROR(
  INDEX(Sheet1!$B$1:$N$1,
    MATCH(B152,
      INDEX(Sheet1!$B$2:$N$170,
        MATCH($A152,Sheet1!$A$2:$A$170,0),
        0
      ),
      0
    )
  ),
  ""
)</f>
        <v>14</v>
      </c>
      <c r="D152" t="s">
        <v>692</v>
      </c>
      <c r="E152" t="s">
        <v>444</v>
      </c>
      <c r="F152" t="str">
        <f t="shared" si="8"/>
        <v>Yes</v>
      </c>
      <c r="G152" t="s">
        <v>770</v>
      </c>
      <c r="J152">
        <f t="shared" si="10"/>
        <v>150</v>
      </c>
    </row>
    <row r="153" spans="1:10" hidden="1" x14ac:dyDescent="0.15">
      <c r="A153" t="s">
        <v>205</v>
      </c>
      <c r="B153" s="2" t="s">
        <v>444</v>
      </c>
      <c r="C153" s="2" t="str">
        <f>IFERROR(
  INDEX(Sheet1!$B$1:$N$1,
    MATCH(B153,
      INDEX(Sheet1!$B$2:$N$170,
        MATCH($A153,Sheet1!$A$2:$A$170,0),
        0
      ),
      0
    )
  ),
  ""
)</f>
        <v>14</v>
      </c>
      <c r="D153" t="s">
        <v>692</v>
      </c>
      <c r="E153" t="s">
        <v>437</v>
      </c>
      <c r="F153" t="str">
        <f t="shared" si="8"/>
        <v>Yes</v>
      </c>
      <c r="G153" t="s">
        <v>770</v>
      </c>
      <c r="J153">
        <f t="shared" si="10"/>
        <v>151</v>
      </c>
    </row>
    <row r="154" spans="1:10" hidden="1" x14ac:dyDescent="0.15">
      <c r="A154" t="s">
        <v>71</v>
      </c>
      <c r="B154" s="2" t="s">
        <v>354</v>
      </c>
      <c r="C154" s="2" t="str">
        <f>IFERROR(
  INDEX(Sheet1!$B$1:$N$1,
    MATCH(B154,
      INDEX(Sheet1!$B$2:$N$170,
        MATCH($A154,Sheet1!$A$2:$A$170,0),
        0
      ),
      0
    )
  ),
  ""
)</f>
        <v>5</v>
      </c>
      <c r="D154" t="s">
        <v>24</v>
      </c>
      <c r="E154" t="s">
        <v>758</v>
      </c>
      <c r="F154" t="str">
        <f t="shared" si="8"/>
        <v>Yes</v>
      </c>
      <c r="J154">
        <f t="shared" si="10"/>
        <v>17</v>
      </c>
    </row>
    <row r="155" spans="1:10" hidden="1" x14ac:dyDescent="0.15">
      <c r="A155" t="s">
        <v>207</v>
      </c>
      <c r="B155" s="2"/>
      <c r="C155" s="2" t="str">
        <f>IFERROR(
  INDEX(Sheet1!$B$1:$N$1,
    MATCH(B155,
      INDEX(Sheet1!$B$2:$N$170,
        MATCH($A155,Sheet1!$A$2:$A$170,0),
        0
      ),
      0
    )
  ),
  ""
)</f>
        <v/>
      </c>
      <c r="F155" t="str">
        <f t="shared" ref="F155:F161" si="11">IF(E155&lt;&gt;"","Yes","No")</f>
        <v>No</v>
      </c>
      <c r="J155">
        <f t="shared" ref="J155:J171" si="12">IFERROR(VALUE(SUBSTITUTE(SUBSTITUTE(A155,"GPIO",""),"号","")),"")</f>
        <v>153</v>
      </c>
    </row>
    <row r="156" spans="1:10" hidden="1" x14ac:dyDescent="0.15">
      <c r="A156" t="s">
        <v>836</v>
      </c>
      <c r="B156" s="2"/>
      <c r="C156" s="2" t="str">
        <f>IFERROR(
  INDEX(Sheet1!$B$1:$N$1,
    MATCH(B156,
      INDEX(Sheet1!$B$2:$N$170,
        MATCH($A156,Sheet1!$A$2:$A$170,0),
        0
      ),
      0
    )
  ),
  ""
)</f>
        <v/>
      </c>
      <c r="F156" t="str">
        <f t="shared" si="11"/>
        <v>No</v>
      </c>
      <c r="J156">
        <f t="shared" si="12"/>
        <v>154</v>
      </c>
    </row>
    <row r="157" spans="1:10" hidden="1" x14ac:dyDescent="0.15">
      <c r="A157" t="s">
        <v>209</v>
      </c>
      <c r="B157" s="2"/>
      <c r="C157" s="2" t="str">
        <f>IFERROR(
  INDEX(Sheet1!$B$1:$N$1,
    MATCH(B157,
      INDEX(Sheet1!$B$2:$N$170,
        MATCH($A157,Sheet1!$A$2:$A$170,0),
        0
      ),
      0
    )
  ),
  ""
)</f>
        <v/>
      </c>
      <c r="F157" t="str">
        <f t="shared" si="11"/>
        <v>No</v>
      </c>
      <c r="J157">
        <f t="shared" si="12"/>
        <v>155</v>
      </c>
    </row>
    <row r="158" spans="1:10" hidden="1" x14ac:dyDescent="0.15">
      <c r="A158" t="s">
        <v>210</v>
      </c>
      <c r="B158" s="2" t="s">
        <v>585</v>
      </c>
      <c r="C158" s="2" t="str">
        <f>IFERROR(
  INDEX(Sheet1!$B$1:$N$1,
    MATCH(B158,
      INDEX(Sheet1!$B$2:$N$170,
        MATCH($A158,Sheet1!$A$2:$A$170,0),
        0
      ),
      0
    )
  ),
  ""
)</f>
        <v>14</v>
      </c>
      <c r="D158" t="s">
        <v>692</v>
      </c>
      <c r="E158" t="s">
        <v>694</v>
      </c>
      <c r="F158" t="str">
        <f t="shared" si="11"/>
        <v>Yes</v>
      </c>
      <c r="G158" t="s">
        <v>770</v>
      </c>
      <c r="J158">
        <f t="shared" si="12"/>
        <v>156</v>
      </c>
    </row>
    <row r="159" spans="1:10" hidden="1" x14ac:dyDescent="0.15">
      <c r="A159" t="s">
        <v>211</v>
      </c>
      <c r="B159" s="2"/>
      <c r="C159" s="2" t="str">
        <f>IFERROR(
  INDEX(Sheet1!$B$1:$N$1,
    MATCH(B159,
      INDEX(Sheet1!$B$2:$N$170,
        MATCH($A159,Sheet1!$A$2:$A$170,0),
        0
      ),
      0
    )
  ),
  ""
)</f>
        <v/>
      </c>
      <c r="D159" t="s">
        <v>820</v>
      </c>
      <c r="E159" t="s">
        <v>821</v>
      </c>
      <c r="F159" t="str">
        <f t="shared" si="11"/>
        <v>Yes</v>
      </c>
      <c r="J159">
        <f t="shared" si="12"/>
        <v>157</v>
      </c>
    </row>
    <row r="160" spans="1:10" hidden="1" x14ac:dyDescent="0.15">
      <c r="A160" t="s">
        <v>212</v>
      </c>
      <c r="B160" s="2"/>
      <c r="C160" s="2" t="str">
        <f>IFERROR(
  INDEX(Sheet1!$B$1:$N$1,
    MATCH(B160,
      INDEX(Sheet1!$B$2:$N$170,
        MATCH($A160,Sheet1!$A$2:$A$170,0),
        0
      ),
      0
    )
  ),
  ""
)</f>
        <v/>
      </c>
      <c r="F160" t="str">
        <f t="shared" si="11"/>
        <v>No</v>
      </c>
      <c r="J160">
        <f t="shared" si="12"/>
        <v>158</v>
      </c>
    </row>
    <row r="161" spans="1:10" hidden="1" x14ac:dyDescent="0.15">
      <c r="A161" t="s">
        <v>213</v>
      </c>
      <c r="B161" s="2" t="s">
        <v>592</v>
      </c>
      <c r="C161" s="2" t="str">
        <f>IFERROR(
  INDEX(Sheet1!$B$1:$N$1,
    MATCH(B161,
      INDEX(Sheet1!$B$2:$N$170,
        MATCH($A161,Sheet1!$A$2:$A$170,0),
        0
      ),
      0
    )
  ),
  ""
)</f>
        <v>14</v>
      </c>
      <c r="D161" t="s">
        <v>692</v>
      </c>
      <c r="E161" t="s">
        <v>695</v>
      </c>
      <c r="F161" t="str">
        <f t="shared" si="11"/>
        <v>Yes</v>
      </c>
      <c r="G161" t="s">
        <v>770</v>
      </c>
      <c r="J161">
        <f t="shared" si="12"/>
        <v>159</v>
      </c>
    </row>
    <row r="162" spans="1:10" hidden="1" x14ac:dyDescent="0.15">
      <c r="A162" t="s">
        <v>214</v>
      </c>
      <c r="B162" s="2" t="s">
        <v>594</v>
      </c>
      <c r="C162" s="2" t="str">
        <f>IFERROR(
  INDEX(Sheet1!$B$1:$N$1,
    MATCH(B162,
      INDEX(Sheet1!$B$2:$N$170,
        MATCH($A162,Sheet1!$A$2:$A$170,0),
        0
      ),
      0
    )
  ),
  ""
)</f>
        <v>14</v>
      </c>
      <c r="D162" t="s">
        <v>692</v>
      </c>
      <c r="E162" t="s">
        <v>696</v>
      </c>
      <c r="F162" t="str">
        <f t="shared" ref="F162:F191" si="13">IF(E162&lt;&gt;"","Yes","No")</f>
        <v>Yes</v>
      </c>
      <c r="G162" t="s">
        <v>770</v>
      </c>
      <c r="J162">
        <f t="shared" si="12"/>
        <v>160</v>
      </c>
    </row>
    <row r="163" spans="1:10" hidden="1" x14ac:dyDescent="0.15">
      <c r="A163" t="s">
        <v>215</v>
      </c>
      <c r="B163" s="2" t="s">
        <v>596</v>
      </c>
      <c r="C163" s="2" t="str">
        <f>IFERROR(
  INDEX(Sheet1!$B$1:$N$1,
    MATCH(B163,
      INDEX(Sheet1!$B$2:$N$170,
        MATCH($A163,Sheet1!$A$2:$A$170,0),
        0
      ),
      0
    )
  ),
  ""
)</f>
        <v>14</v>
      </c>
      <c r="D163" t="s">
        <v>692</v>
      </c>
      <c r="E163" t="s">
        <v>697</v>
      </c>
      <c r="F163" t="str">
        <f t="shared" si="13"/>
        <v>Yes</v>
      </c>
      <c r="G163" t="s">
        <v>770</v>
      </c>
      <c r="J163">
        <f t="shared" si="12"/>
        <v>161</v>
      </c>
    </row>
    <row r="164" spans="1:10" hidden="1" x14ac:dyDescent="0.15">
      <c r="A164" t="s">
        <v>216</v>
      </c>
      <c r="B164" s="2"/>
      <c r="C164" s="2" t="str">
        <f>IFERROR(
  INDEX(Sheet1!$B$1:$N$1,
    MATCH(B164,
      INDEX(Sheet1!$B$2:$N$170,
        MATCH($A164,Sheet1!$A$2:$A$170,0),
        0
      ),
      0
    )
  ),
  ""
)</f>
        <v/>
      </c>
      <c r="F164" t="str">
        <f t="shared" si="13"/>
        <v>No</v>
      </c>
      <c r="J164">
        <f t="shared" si="12"/>
        <v>162</v>
      </c>
    </row>
    <row r="165" spans="1:10" hidden="1" x14ac:dyDescent="0.15">
      <c r="A165" t="s">
        <v>217</v>
      </c>
      <c r="B165" s="2"/>
      <c r="C165" s="2" t="str">
        <f>IFERROR(
  INDEX(Sheet1!$B$1:$N$1,
    MATCH(B165,
      INDEX(Sheet1!$B$2:$N$170,
        MATCH($A165,Sheet1!$A$2:$A$170,0),
        0
      ),
      0
    )
  ),
  ""
)</f>
        <v/>
      </c>
      <c r="F165" t="str">
        <f t="shared" si="13"/>
        <v>No</v>
      </c>
      <c r="J165">
        <f t="shared" si="12"/>
        <v>163</v>
      </c>
    </row>
    <row r="166" spans="1:10" hidden="1" x14ac:dyDescent="0.15">
      <c r="A166" t="s">
        <v>218</v>
      </c>
      <c r="B166" s="2"/>
      <c r="C166" s="2" t="str">
        <f>IFERROR(
  INDEX(Sheet1!$B$1:$N$1,
    MATCH(B166,
      INDEX(Sheet1!$B$2:$N$170,
        MATCH($A166,Sheet1!$A$2:$A$170,0),
        0
      ),
      0
    )
  ),
  ""
)</f>
        <v/>
      </c>
      <c r="F166" t="str">
        <f t="shared" si="13"/>
        <v>No</v>
      </c>
      <c r="J166">
        <f t="shared" si="12"/>
        <v>164</v>
      </c>
    </row>
    <row r="167" spans="1:10" hidden="1" x14ac:dyDescent="0.15">
      <c r="A167" t="s">
        <v>219</v>
      </c>
      <c r="B167" s="2"/>
      <c r="C167" s="2" t="str">
        <f>IFERROR(
  INDEX(Sheet1!$B$1:$N$1,
    MATCH(B167,
      INDEX(Sheet1!$B$2:$N$170,
        MATCH($A167,Sheet1!$A$2:$A$170,0),
        0
      ),
      0
    )
  ),
  ""
)</f>
        <v/>
      </c>
      <c r="F167" t="str">
        <f t="shared" si="13"/>
        <v>No</v>
      </c>
      <c r="J167">
        <f t="shared" si="12"/>
        <v>165</v>
      </c>
    </row>
    <row r="168" spans="1:10" hidden="1" x14ac:dyDescent="0.15">
      <c r="A168" t="s">
        <v>220</v>
      </c>
      <c r="B168" s="2"/>
      <c r="C168" s="2" t="str">
        <f>IFERROR(
  INDEX(Sheet1!$B$1:$N$1,
    MATCH(B168,
      INDEX(Sheet1!$B$2:$N$170,
        MATCH($A168,Sheet1!$A$2:$A$170,0),
        0
      ),
      0
    )
  ),
  ""
)</f>
        <v/>
      </c>
      <c r="D168" t="s">
        <v>9</v>
      </c>
      <c r="E168" t="s">
        <v>804</v>
      </c>
      <c r="F168" t="str">
        <f t="shared" si="13"/>
        <v>Yes</v>
      </c>
      <c r="J168">
        <f t="shared" si="12"/>
        <v>166</v>
      </c>
    </row>
    <row r="169" spans="1:10" hidden="1" x14ac:dyDescent="0.15">
      <c r="A169" t="s">
        <v>221</v>
      </c>
      <c r="B169" s="2"/>
      <c r="C169" s="2" t="str">
        <f>IFERROR(
  INDEX(Sheet1!$B$1:$N$1,
    MATCH(B169,
      INDEX(Sheet1!$B$2:$N$170,
        MATCH($A169,Sheet1!$A$2:$A$170,0),
        0
      ),
      0
    )
  ),
  ""
)</f>
        <v/>
      </c>
      <c r="D169" t="s">
        <v>9</v>
      </c>
      <c r="E169" t="s">
        <v>811</v>
      </c>
      <c r="F169" t="str">
        <f t="shared" si="13"/>
        <v>Yes</v>
      </c>
      <c r="J169">
        <f t="shared" si="12"/>
        <v>167</v>
      </c>
    </row>
    <row r="170" spans="1:10" hidden="1" x14ac:dyDescent="0.15">
      <c r="A170" t="s">
        <v>222</v>
      </c>
      <c r="B170" s="2"/>
      <c r="C170" s="2" t="str">
        <f>IFERROR(
  INDEX(Sheet1!$B$1:$N$1,
    MATCH(B170,
      INDEX(Sheet1!$B$2:$N$170,
        MATCH($A170,Sheet1!$A$2:$A$170,0),
        0
      ),
      0
    )
  ),
  ""
)</f>
        <v/>
      </c>
      <c r="D170" t="s">
        <v>9</v>
      </c>
      <c r="E170" t="s">
        <v>803</v>
      </c>
      <c r="F170" t="str">
        <f t="shared" si="13"/>
        <v>Yes</v>
      </c>
      <c r="J170">
        <f t="shared" si="12"/>
        <v>168</v>
      </c>
    </row>
    <row r="171" spans="1:10" hidden="1" x14ac:dyDescent="0.15">
      <c r="A171" t="s">
        <v>725</v>
      </c>
      <c r="D171" t="s">
        <v>17</v>
      </c>
      <c r="F171" t="str">
        <f t="shared" si="13"/>
        <v>No</v>
      </c>
      <c r="J171" t="str">
        <f t="shared" si="12"/>
        <v/>
      </c>
    </row>
    <row r="172" spans="1:10" hidden="1" x14ac:dyDescent="0.15">
      <c r="A172" t="s">
        <v>726</v>
      </c>
      <c r="D172" t="s">
        <v>17</v>
      </c>
      <c r="F172" t="str">
        <f t="shared" si="13"/>
        <v>No</v>
      </c>
    </row>
    <row r="173" spans="1:10" hidden="1" x14ac:dyDescent="0.15">
      <c r="A173" t="s">
        <v>727</v>
      </c>
      <c r="D173" t="s">
        <v>17</v>
      </c>
      <c r="F173" t="str">
        <f t="shared" si="13"/>
        <v>No</v>
      </c>
    </row>
    <row r="174" spans="1:10" hidden="1" x14ac:dyDescent="0.15">
      <c r="A174" t="s">
        <v>728</v>
      </c>
      <c r="D174" t="s">
        <v>17</v>
      </c>
      <c r="F174" t="str">
        <f t="shared" si="13"/>
        <v>No</v>
      </c>
    </row>
    <row r="175" spans="1:10" hidden="1" x14ac:dyDescent="0.15">
      <c r="A175" t="s">
        <v>729</v>
      </c>
      <c r="D175" t="s">
        <v>17</v>
      </c>
      <c r="F175" t="str">
        <f t="shared" si="13"/>
        <v>No</v>
      </c>
    </row>
    <row r="176" spans="1:10" hidden="1" x14ac:dyDescent="0.15">
      <c r="A176" t="s">
        <v>730</v>
      </c>
      <c r="D176" t="s">
        <v>17</v>
      </c>
      <c r="F176" t="str">
        <f t="shared" si="13"/>
        <v>No</v>
      </c>
    </row>
    <row r="177" spans="1:6" hidden="1" x14ac:dyDescent="0.15">
      <c r="A177" t="s">
        <v>731</v>
      </c>
      <c r="D177" t="s">
        <v>17</v>
      </c>
      <c r="F177" t="str">
        <f t="shared" si="13"/>
        <v>No</v>
      </c>
    </row>
    <row r="178" spans="1:6" hidden="1" x14ac:dyDescent="0.15">
      <c r="A178" t="s">
        <v>732</v>
      </c>
      <c r="D178" t="s">
        <v>17</v>
      </c>
      <c r="F178" t="str">
        <f t="shared" si="13"/>
        <v>No</v>
      </c>
    </row>
    <row r="179" spans="1:6" hidden="1" x14ac:dyDescent="0.15">
      <c r="A179" t="s">
        <v>733</v>
      </c>
      <c r="D179" t="s">
        <v>17</v>
      </c>
      <c r="F179" t="str">
        <f t="shared" si="13"/>
        <v>No</v>
      </c>
    </row>
    <row r="180" spans="1:6" hidden="1" x14ac:dyDescent="0.15">
      <c r="A180" t="s">
        <v>734</v>
      </c>
      <c r="D180" t="s">
        <v>17</v>
      </c>
      <c r="F180" t="str">
        <f t="shared" si="13"/>
        <v>No</v>
      </c>
    </row>
    <row r="181" spans="1:6" hidden="1" x14ac:dyDescent="0.15">
      <c r="A181" t="s">
        <v>735</v>
      </c>
      <c r="D181" t="s">
        <v>17</v>
      </c>
      <c r="F181" t="str">
        <f t="shared" si="13"/>
        <v>No</v>
      </c>
    </row>
    <row r="182" spans="1:6" hidden="1" x14ac:dyDescent="0.15">
      <c r="A182" t="s">
        <v>736</v>
      </c>
      <c r="D182" t="s">
        <v>17</v>
      </c>
      <c r="F182" t="str">
        <f t="shared" si="13"/>
        <v>No</v>
      </c>
    </row>
    <row r="183" spans="1:6" hidden="1" x14ac:dyDescent="0.15">
      <c r="A183" t="s">
        <v>737</v>
      </c>
      <c r="D183" t="s">
        <v>17</v>
      </c>
      <c r="F183" t="str">
        <f t="shared" si="13"/>
        <v>No</v>
      </c>
    </row>
    <row r="184" spans="1:6" hidden="1" x14ac:dyDescent="0.15">
      <c r="A184" t="s">
        <v>738</v>
      </c>
      <c r="D184" t="s">
        <v>17</v>
      </c>
      <c r="F184" t="str">
        <f t="shared" si="13"/>
        <v>No</v>
      </c>
    </row>
    <row r="185" spans="1:6" hidden="1" x14ac:dyDescent="0.15">
      <c r="A185" t="s">
        <v>739</v>
      </c>
      <c r="D185" t="s">
        <v>17</v>
      </c>
      <c r="F185" t="str">
        <f t="shared" si="13"/>
        <v>No</v>
      </c>
    </row>
    <row r="186" spans="1:6" hidden="1" x14ac:dyDescent="0.15">
      <c r="A186" t="s">
        <v>740</v>
      </c>
      <c r="D186" t="s">
        <v>17</v>
      </c>
      <c r="F186" t="str">
        <f t="shared" si="13"/>
        <v>No</v>
      </c>
    </row>
    <row r="187" spans="1:6" hidden="1" x14ac:dyDescent="0.15">
      <c r="A187" t="s">
        <v>741</v>
      </c>
      <c r="D187" t="s">
        <v>17</v>
      </c>
      <c r="F187" t="str">
        <f t="shared" si="13"/>
        <v>No</v>
      </c>
    </row>
    <row r="188" spans="1:6" hidden="1" x14ac:dyDescent="0.15">
      <c r="A188" t="s">
        <v>742</v>
      </c>
      <c r="D188" t="s">
        <v>17</v>
      </c>
      <c r="F188" t="str">
        <f t="shared" si="13"/>
        <v>No</v>
      </c>
    </row>
    <row r="189" spans="1:6" hidden="1" x14ac:dyDescent="0.15">
      <c r="A189" t="s">
        <v>743</v>
      </c>
      <c r="D189" t="s">
        <v>17</v>
      </c>
      <c r="F189" t="str">
        <f t="shared" si="13"/>
        <v>No</v>
      </c>
    </row>
    <row r="190" spans="1:6" hidden="1" x14ac:dyDescent="0.15">
      <c r="A190" t="s">
        <v>744</v>
      </c>
      <c r="D190" t="s">
        <v>17</v>
      </c>
      <c r="F190" t="str">
        <f t="shared" si="13"/>
        <v>No</v>
      </c>
    </row>
    <row r="191" spans="1:6" hidden="1" x14ac:dyDescent="0.15">
      <c r="A191" t="s">
        <v>745</v>
      </c>
      <c r="D191" t="s">
        <v>17</v>
      </c>
      <c r="F191" t="str">
        <f t="shared" si="13"/>
        <v>No</v>
      </c>
    </row>
  </sheetData>
  <autoFilter ref="A1:J191" xr:uid="{00000000-0001-0000-0000-000000000000}">
    <filterColumn colId="4">
      <filters>
        <filter val="DSP_PWM1~{_ENABLE}"/>
        <filter val="DSP_PWM2~{_ENABLE}"/>
        <filter val="DSP_PWM3~{_ENABLE}"/>
        <filter val="DSP_PWM4~{_ENABLE}"/>
      </filters>
    </filterColumn>
    <sortState xmlns:xlrd2="http://schemas.microsoft.com/office/spreadsheetml/2017/richdata2" ref="A109:J141">
      <sortCondition ref="E1:E191"/>
    </sortState>
  </autoFilter>
  <phoneticPr fontId="2" type="noConversion"/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88AA12-4D70-42A0-9B9E-3883A36A8741}">
          <x14:formula1>
            <xm:f>OFFSET(Sheet1!$B$1, MATCH(A2, Sheet1!$A$2:$A$170, 0), 0, 1, 13)</xm:f>
          </x14:formula1>
          <xm:sqref>B2:B170</xm:sqref>
        </x14:dataValidation>
        <x14:dataValidation type="list" allowBlank="1" showInputMessage="1" showErrorMessage="1" xr:uid="{C2F6B898-CAC9-477D-92FC-DAF87F5E1AD8}">
          <x14:formula1>
            <xm:f>Lists!$A$2:$A$17</xm:f>
          </x14:formula1>
          <xm:sqref>D203:D1048576 D1:D201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A10" sqref="A10"/>
    </sheetView>
  </sheetViews>
  <sheetFormatPr defaultRowHeight="13.5" x14ac:dyDescent="0.15"/>
  <cols>
    <col min="1" max="1" width="24.875" customWidth="1"/>
    <col min="2" max="2" width="23.125" customWidth="1"/>
    <col min="3" max="3" width="16.125" customWidth="1"/>
    <col min="4" max="4" width="21" customWidth="1"/>
    <col min="5" max="5" width="22.25" customWidth="1"/>
    <col min="6" max="6" width="23.375" customWidth="1"/>
    <col min="7" max="8" width="34.5" customWidth="1"/>
  </cols>
  <sheetData>
    <row r="1" spans="1:9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</row>
    <row r="4" spans="1:9" x14ac:dyDescent="0.15">
      <c r="A4" t="s">
        <v>24</v>
      </c>
      <c r="B4" t="s">
        <v>25</v>
      </c>
      <c r="C4" t="s">
        <v>26</v>
      </c>
      <c r="D4" t="s">
        <v>27</v>
      </c>
      <c r="E4" t="s">
        <v>28</v>
      </c>
      <c r="G4" t="s">
        <v>29</v>
      </c>
    </row>
    <row r="5" spans="1:9" x14ac:dyDescent="0.15">
      <c r="A5" t="s">
        <v>53</v>
      </c>
      <c r="B5" t="s">
        <v>30</v>
      </c>
      <c r="C5" t="s">
        <v>31</v>
      </c>
      <c r="D5" t="s">
        <v>32</v>
      </c>
      <c r="E5" t="s">
        <v>33</v>
      </c>
      <c r="G5" t="s">
        <v>34</v>
      </c>
    </row>
    <row r="6" spans="1:9" x14ac:dyDescent="0.15">
      <c r="A6" t="s">
        <v>54</v>
      </c>
      <c r="B6" t="s">
        <v>35</v>
      </c>
      <c r="C6" t="s">
        <v>36</v>
      </c>
    </row>
    <row r="7" spans="1:9" x14ac:dyDescent="0.15">
      <c r="A7" t="s">
        <v>51</v>
      </c>
      <c r="C7" t="s">
        <v>37</v>
      </c>
    </row>
    <row r="8" spans="1:9" x14ac:dyDescent="0.15">
      <c r="A8" t="s">
        <v>38</v>
      </c>
    </row>
    <row r="9" spans="1:9" x14ac:dyDescent="0.15">
      <c r="A9" t="s">
        <v>769</v>
      </c>
    </row>
    <row r="10" spans="1:9" x14ac:dyDescent="0.15">
      <c r="A10" t="s">
        <v>39</v>
      </c>
    </row>
    <row r="11" spans="1:9" x14ac:dyDescent="0.15">
      <c r="A11" t="s">
        <v>232</v>
      </c>
    </row>
    <row r="12" spans="1:9" x14ac:dyDescent="0.15">
      <c r="A12" t="s">
        <v>234</v>
      </c>
    </row>
    <row r="13" spans="1:9" x14ac:dyDescent="0.15">
      <c r="A13" t="s">
        <v>40</v>
      </c>
    </row>
    <row r="14" spans="1:9" x14ac:dyDescent="0.15">
      <c r="A14" t="s">
        <v>233</v>
      </c>
    </row>
    <row r="15" spans="1:9" x14ac:dyDescent="0.15">
      <c r="A15" t="s">
        <v>52</v>
      </c>
    </row>
    <row r="16" spans="1:9" x14ac:dyDescent="0.15">
      <c r="A16" t="s">
        <v>50</v>
      </c>
    </row>
    <row r="17" spans="1:1" x14ac:dyDescent="0.15">
      <c r="A17" t="s">
        <v>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012F-2AE2-4B89-9859-DB6E135ED35D}">
  <dimension ref="A1:N170"/>
  <sheetViews>
    <sheetView topLeftCell="A64" zoomScale="70" zoomScaleNormal="70" workbookViewId="0">
      <selection activeCell="L77" sqref="L77"/>
    </sheetView>
  </sheetViews>
  <sheetFormatPr defaultRowHeight="13.5" x14ac:dyDescent="0.15"/>
  <cols>
    <col min="1" max="4" width="20.625" customWidth="1"/>
    <col min="5" max="5" width="12.75" customWidth="1"/>
    <col min="6" max="6" width="13.5" customWidth="1"/>
    <col min="7" max="7" width="16.75" customWidth="1"/>
    <col min="8" max="8" width="11.125" customWidth="1"/>
    <col min="9" max="9" width="18" customWidth="1"/>
    <col min="10" max="10" width="17.5" customWidth="1"/>
    <col min="12" max="12" width="14.125" customWidth="1"/>
    <col min="13" max="13" width="12.375" customWidth="1"/>
  </cols>
  <sheetData>
    <row r="1" spans="1:14" ht="30" customHeight="1" x14ac:dyDescent="0.15">
      <c r="A1" s="3" t="s">
        <v>241</v>
      </c>
      <c r="B1" s="3" t="s">
        <v>242</v>
      </c>
      <c r="C1" s="3" t="s">
        <v>243</v>
      </c>
      <c r="D1" s="3" t="s">
        <v>244</v>
      </c>
      <c r="E1" s="3" t="s">
        <v>245</v>
      </c>
      <c r="F1" s="3" t="s">
        <v>246</v>
      </c>
      <c r="G1" s="3" t="s">
        <v>247</v>
      </c>
      <c r="H1" s="3" t="s">
        <v>248</v>
      </c>
      <c r="I1" s="3" t="s">
        <v>249</v>
      </c>
      <c r="J1" s="3" t="s">
        <v>250</v>
      </c>
      <c r="K1" s="3" t="s">
        <v>251</v>
      </c>
      <c r="L1" s="3" t="s">
        <v>252</v>
      </c>
      <c r="M1" s="3" t="s">
        <v>253</v>
      </c>
      <c r="N1" s="3" t="s">
        <v>254</v>
      </c>
    </row>
    <row r="2" spans="1:14" ht="30" customHeight="1" x14ac:dyDescent="0.15">
      <c r="A2" s="4" t="s">
        <v>225</v>
      </c>
      <c r="B2" s="4" t="s">
        <v>255</v>
      </c>
      <c r="C2" s="4"/>
      <c r="D2" s="4"/>
      <c r="E2" s="4"/>
      <c r="F2" s="4" t="s">
        <v>256</v>
      </c>
      <c r="G2" s="4"/>
      <c r="H2" s="4" t="s">
        <v>257</v>
      </c>
      <c r="I2" s="4" t="s">
        <v>258</v>
      </c>
      <c r="J2" s="4"/>
      <c r="K2" s="4" t="s">
        <v>259</v>
      </c>
      <c r="L2" s="4"/>
      <c r="M2" s="4"/>
      <c r="N2" s="4"/>
    </row>
    <row r="3" spans="1:14" ht="30" customHeight="1" x14ac:dyDescent="0.15">
      <c r="A3" s="4" t="s">
        <v>55</v>
      </c>
      <c r="B3" s="4" t="s">
        <v>260</v>
      </c>
      <c r="C3" s="4"/>
      <c r="D3" s="4" t="s">
        <v>261</v>
      </c>
      <c r="E3" s="4"/>
      <c r="F3" s="4" t="s">
        <v>262</v>
      </c>
      <c r="G3" s="4"/>
      <c r="H3" s="4" t="s">
        <v>263</v>
      </c>
      <c r="I3" s="4" t="s">
        <v>264</v>
      </c>
      <c r="J3" s="4"/>
      <c r="K3" s="4" t="s">
        <v>265</v>
      </c>
      <c r="L3" s="4"/>
      <c r="M3" s="4"/>
      <c r="N3" s="4"/>
    </row>
    <row r="4" spans="1:14" ht="30" customHeight="1" x14ac:dyDescent="0.15">
      <c r="A4" s="4" t="s">
        <v>56</v>
      </c>
      <c r="B4" s="4" t="s">
        <v>266</v>
      </c>
      <c r="C4" s="4"/>
      <c r="D4" s="4"/>
      <c r="E4" s="4" t="s">
        <v>267</v>
      </c>
      <c r="F4" s="4" t="s">
        <v>268</v>
      </c>
      <c r="G4" s="4"/>
      <c r="H4" s="4"/>
      <c r="I4" s="4" t="s">
        <v>269</v>
      </c>
      <c r="J4" s="4"/>
      <c r="K4" s="4" t="s">
        <v>270</v>
      </c>
      <c r="L4" s="4"/>
      <c r="M4" s="4"/>
      <c r="N4" s="4"/>
    </row>
    <row r="5" spans="1:14" ht="30" customHeight="1" x14ac:dyDescent="0.15">
      <c r="A5" s="4" t="s">
        <v>57</v>
      </c>
      <c r="B5" s="4" t="s">
        <v>271</v>
      </c>
      <c r="C5" s="4" t="s">
        <v>272</v>
      </c>
      <c r="D5" s="4" t="s">
        <v>273</v>
      </c>
      <c r="E5" s="4" t="s">
        <v>272</v>
      </c>
      <c r="F5" s="4" t="s">
        <v>274</v>
      </c>
      <c r="G5" s="4"/>
      <c r="H5" s="4"/>
      <c r="I5" s="4" t="s">
        <v>275</v>
      </c>
      <c r="J5" s="4"/>
      <c r="K5" s="4" t="s">
        <v>276</v>
      </c>
      <c r="L5" s="4"/>
      <c r="M5" s="4"/>
      <c r="N5" s="4"/>
    </row>
    <row r="6" spans="1:14" ht="30" customHeight="1" x14ac:dyDescent="0.15">
      <c r="A6" s="4" t="s">
        <v>58</v>
      </c>
      <c r="B6" s="4" t="s">
        <v>277</v>
      </c>
      <c r="C6" s="4"/>
      <c r="D6" s="4"/>
      <c r="E6" s="4" t="s">
        <v>278</v>
      </c>
      <c r="F6" s="4" t="s">
        <v>279</v>
      </c>
      <c r="G6" s="4"/>
      <c r="H6" s="4" t="s">
        <v>280</v>
      </c>
      <c r="I6" s="4" t="s">
        <v>281</v>
      </c>
      <c r="J6" s="4"/>
      <c r="K6" s="4" t="s">
        <v>282</v>
      </c>
      <c r="L6" s="4"/>
      <c r="M6" s="4"/>
      <c r="N6" s="4"/>
    </row>
    <row r="7" spans="1:14" ht="30" customHeight="1" x14ac:dyDescent="0.15">
      <c r="A7" s="4" t="s">
        <v>59</v>
      </c>
      <c r="B7" s="4" t="s">
        <v>283</v>
      </c>
      <c r="C7" s="4" t="s">
        <v>284</v>
      </c>
      <c r="D7" s="4" t="s">
        <v>278</v>
      </c>
      <c r="E7" s="4"/>
      <c r="F7" s="4" t="s">
        <v>285</v>
      </c>
      <c r="G7" s="4"/>
      <c r="H7" s="4" t="s">
        <v>286</v>
      </c>
      <c r="I7" s="4" t="s">
        <v>287</v>
      </c>
      <c r="J7" s="4"/>
      <c r="K7" s="4" t="s">
        <v>288</v>
      </c>
      <c r="L7" s="4"/>
      <c r="M7" s="4"/>
      <c r="N7" s="4"/>
    </row>
    <row r="8" spans="1:14" ht="30" customHeight="1" x14ac:dyDescent="0.15">
      <c r="A8" s="4" t="s">
        <v>60</v>
      </c>
      <c r="B8" s="4" t="s">
        <v>289</v>
      </c>
      <c r="C8" s="4" t="s">
        <v>290</v>
      </c>
      <c r="D8" s="4" t="s">
        <v>291</v>
      </c>
      <c r="E8" s="4" t="s">
        <v>292</v>
      </c>
      <c r="F8" s="4" t="s">
        <v>293</v>
      </c>
      <c r="G8" s="4"/>
      <c r="H8" s="4"/>
      <c r="I8" s="4" t="s">
        <v>294</v>
      </c>
      <c r="J8" s="4"/>
      <c r="K8" s="4" t="s">
        <v>295</v>
      </c>
      <c r="L8" s="4"/>
      <c r="M8" s="4"/>
      <c r="N8" s="4"/>
    </row>
    <row r="9" spans="1:14" ht="30" customHeight="1" x14ac:dyDescent="0.15">
      <c r="A9" s="4" t="s">
        <v>61</v>
      </c>
      <c r="B9" s="4" t="s">
        <v>296</v>
      </c>
      <c r="C9" s="4" t="s">
        <v>297</v>
      </c>
      <c r="D9" s="4" t="s">
        <v>298</v>
      </c>
      <c r="E9" s="4" t="s">
        <v>299</v>
      </c>
      <c r="F9" s="4" t="s">
        <v>300</v>
      </c>
      <c r="G9" s="4"/>
      <c r="H9" s="4"/>
      <c r="I9" s="4" t="s">
        <v>301</v>
      </c>
      <c r="J9" s="4"/>
      <c r="K9" s="4" t="s">
        <v>302</v>
      </c>
      <c r="L9" s="4"/>
      <c r="M9" s="4"/>
      <c r="N9" s="4"/>
    </row>
    <row r="10" spans="1:14" ht="30" customHeight="1" x14ac:dyDescent="0.15">
      <c r="A10" s="4" t="s">
        <v>62</v>
      </c>
      <c r="B10" s="4" t="s">
        <v>303</v>
      </c>
      <c r="C10" s="4" t="s">
        <v>293</v>
      </c>
      <c r="D10" s="4" t="s">
        <v>304</v>
      </c>
      <c r="E10" s="4" t="s">
        <v>305</v>
      </c>
      <c r="F10" s="4" t="s">
        <v>306</v>
      </c>
      <c r="G10" s="4"/>
      <c r="H10" s="4" t="s">
        <v>280</v>
      </c>
      <c r="I10" s="4" t="s">
        <v>307</v>
      </c>
      <c r="J10" s="4"/>
      <c r="K10" s="4" t="s">
        <v>308</v>
      </c>
      <c r="L10" s="4" t="s">
        <v>265</v>
      </c>
      <c r="M10" s="4" t="s">
        <v>276</v>
      </c>
      <c r="N10" s="4"/>
    </row>
    <row r="11" spans="1:14" ht="30" customHeight="1" x14ac:dyDescent="0.15">
      <c r="A11" s="4" t="s">
        <v>63</v>
      </c>
      <c r="B11" s="4" t="s">
        <v>309</v>
      </c>
      <c r="C11" s="4" t="s">
        <v>310</v>
      </c>
      <c r="D11" s="4" t="s">
        <v>311</v>
      </c>
      <c r="E11" s="4" t="s">
        <v>312</v>
      </c>
      <c r="F11" s="4" t="s">
        <v>313</v>
      </c>
      <c r="G11" s="4"/>
      <c r="H11" s="4"/>
      <c r="I11" s="4" t="s">
        <v>314</v>
      </c>
      <c r="J11" s="4"/>
      <c r="K11" s="4" t="s">
        <v>315</v>
      </c>
      <c r="L11" s="4" t="s">
        <v>259</v>
      </c>
      <c r="M11" s="4" t="s">
        <v>288</v>
      </c>
      <c r="N11" s="4"/>
    </row>
    <row r="12" spans="1:14" ht="30" customHeight="1" x14ac:dyDescent="0.15">
      <c r="A12" s="4" t="s">
        <v>64</v>
      </c>
      <c r="B12" s="4" t="s">
        <v>316</v>
      </c>
      <c r="C12" s="4" t="s">
        <v>300</v>
      </c>
      <c r="D12" s="4" t="s">
        <v>317</v>
      </c>
      <c r="E12" s="4" t="s">
        <v>318</v>
      </c>
      <c r="F12" s="4" t="s">
        <v>310</v>
      </c>
      <c r="G12" s="4"/>
      <c r="H12" s="4" t="s">
        <v>286</v>
      </c>
      <c r="I12" s="4" t="s">
        <v>319</v>
      </c>
      <c r="J12" s="4"/>
      <c r="K12" s="4" t="s">
        <v>320</v>
      </c>
      <c r="L12" s="4" t="s">
        <v>270</v>
      </c>
      <c r="M12" s="4" t="s">
        <v>282</v>
      </c>
      <c r="N12" s="4"/>
    </row>
    <row r="13" spans="1:14" ht="30" customHeight="1" x14ac:dyDescent="0.15">
      <c r="A13" s="4" t="s">
        <v>65</v>
      </c>
      <c r="B13" s="4" t="s">
        <v>321</v>
      </c>
      <c r="C13" s="4" t="s">
        <v>322</v>
      </c>
      <c r="D13" s="4" t="s">
        <v>323</v>
      </c>
      <c r="E13" s="4" t="s">
        <v>324</v>
      </c>
      <c r="F13" s="4" t="s">
        <v>322</v>
      </c>
      <c r="G13" s="4"/>
      <c r="H13" s="4"/>
      <c r="I13" s="4" t="s">
        <v>325</v>
      </c>
      <c r="J13" s="4"/>
      <c r="K13" s="4" t="s">
        <v>326</v>
      </c>
      <c r="L13" s="4" t="s">
        <v>282</v>
      </c>
      <c r="M13" s="4"/>
      <c r="N13" s="4"/>
    </row>
    <row r="14" spans="1:14" ht="30" customHeight="1" x14ac:dyDescent="0.15">
      <c r="A14" s="4" t="s">
        <v>66</v>
      </c>
      <c r="B14" s="4" t="s">
        <v>327</v>
      </c>
      <c r="C14" s="4" t="s">
        <v>293</v>
      </c>
      <c r="D14" s="4" t="s">
        <v>328</v>
      </c>
      <c r="E14" s="4" t="s">
        <v>329</v>
      </c>
      <c r="F14" s="4" t="s">
        <v>330</v>
      </c>
      <c r="G14" s="4"/>
      <c r="H14" s="4"/>
      <c r="I14" s="4" t="s">
        <v>331</v>
      </c>
      <c r="J14" s="4"/>
      <c r="K14" s="4" t="s">
        <v>332</v>
      </c>
      <c r="L14" s="4" t="s">
        <v>276</v>
      </c>
      <c r="M14" s="4"/>
      <c r="N14" s="4"/>
    </row>
    <row r="15" spans="1:14" ht="30" customHeight="1" x14ac:dyDescent="0.15">
      <c r="A15" s="4" t="s">
        <v>67</v>
      </c>
      <c r="B15" s="4" t="s">
        <v>333</v>
      </c>
      <c r="C15" s="4" t="s">
        <v>300</v>
      </c>
      <c r="D15" s="4" t="s">
        <v>334</v>
      </c>
      <c r="E15" s="4" t="s">
        <v>335</v>
      </c>
      <c r="F15" s="4" t="s">
        <v>336</v>
      </c>
      <c r="G15" s="4"/>
      <c r="H15" s="4"/>
      <c r="I15" s="4" t="s">
        <v>337</v>
      </c>
      <c r="J15" s="4"/>
      <c r="K15" s="4" t="s">
        <v>338</v>
      </c>
      <c r="L15" s="4" t="s">
        <v>288</v>
      </c>
      <c r="M15" s="4"/>
      <c r="N15" s="4"/>
    </row>
    <row r="16" spans="1:14" ht="30" customHeight="1" x14ac:dyDescent="0.15">
      <c r="A16" s="4" t="s">
        <v>68</v>
      </c>
      <c r="B16" s="4" t="s">
        <v>339</v>
      </c>
      <c r="C16" s="4" t="s">
        <v>310</v>
      </c>
      <c r="D16" s="4" t="s">
        <v>340</v>
      </c>
      <c r="E16" s="4"/>
      <c r="F16" s="4" t="s">
        <v>278</v>
      </c>
      <c r="G16" s="4"/>
      <c r="H16" s="4"/>
      <c r="I16" s="4" t="s">
        <v>341</v>
      </c>
      <c r="J16" s="4"/>
      <c r="K16" s="4" t="s">
        <v>342</v>
      </c>
      <c r="L16" s="4"/>
      <c r="M16" s="4"/>
      <c r="N16" s="4"/>
    </row>
    <row r="17" spans="1:14" ht="30" customHeight="1" x14ac:dyDescent="0.15">
      <c r="A17" s="4" t="s">
        <v>69</v>
      </c>
      <c r="B17" s="4" t="s">
        <v>343</v>
      </c>
      <c r="C17" s="4" t="s">
        <v>322</v>
      </c>
      <c r="D17" s="4" t="s">
        <v>344</v>
      </c>
      <c r="E17" s="4"/>
      <c r="F17" s="4" t="s">
        <v>290</v>
      </c>
      <c r="G17" s="4"/>
      <c r="H17" s="4"/>
      <c r="I17" s="4" t="s">
        <v>345</v>
      </c>
      <c r="J17" s="4"/>
      <c r="K17" s="4" t="s">
        <v>346</v>
      </c>
      <c r="L17" s="4"/>
      <c r="M17" s="4"/>
      <c r="N17" s="4"/>
    </row>
    <row r="18" spans="1:14" ht="30" customHeight="1" x14ac:dyDescent="0.15">
      <c r="A18" s="4" t="s">
        <v>70</v>
      </c>
      <c r="B18" s="4" t="s">
        <v>347</v>
      </c>
      <c r="C18" s="4" t="s">
        <v>293</v>
      </c>
      <c r="D18" s="4" t="s">
        <v>323</v>
      </c>
      <c r="E18" s="4" t="s">
        <v>348</v>
      </c>
      <c r="F18" s="4"/>
      <c r="G18" s="4" t="s">
        <v>349</v>
      </c>
      <c r="H18" s="4"/>
      <c r="I18" s="4"/>
      <c r="J18" s="4" t="s">
        <v>350</v>
      </c>
      <c r="K18" s="4" t="s">
        <v>351</v>
      </c>
      <c r="L18" s="4"/>
      <c r="M18" s="4"/>
      <c r="N18" s="4"/>
    </row>
    <row r="19" spans="1:14" ht="30" customHeight="1" x14ac:dyDescent="0.15">
      <c r="A19" s="4" t="s">
        <v>71</v>
      </c>
      <c r="B19" s="4" t="s">
        <v>352</v>
      </c>
      <c r="C19" s="4" t="s">
        <v>300</v>
      </c>
      <c r="D19" s="4" t="s">
        <v>353</v>
      </c>
      <c r="E19" s="4" t="s">
        <v>354</v>
      </c>
      <c r="F19" s="4"/>
      <c r="G19" s="4" t="s">
        <v>355</v>
      </c>
      <c r="H19" s="4"/>
      <c r="I19" s="4"/>
      <c r="J19" s="4" t="s">
        <v>356</v>
      </c>
      <c r="K19" s="4" t="s">
        <v>357</v>
      </c>
      <c r="L19" s="4"/>
      <c r="M19" s="4"/>
      <c r="N19" s="4"/>
    </row>
    <row r="20" spans="1:14" ht="30" customHeight="1" x14ac:dyDescent="0.15">
      <c r="A20" s="4" t="s">
        <v>72</v>
      </c>
      <c r="B20" s="4" t="s">
        <v>358</v>
      </c>
      <c r="C20" s="4" t="s">
        <v>310</v>
      </c>
      <c r="D20" s="4" t="s">
        <v>285</v>
      </c>
      <c r="E20" s="4" t="s">
        <v>359</v>
      </c>
      <c r="F20" s="4"/>
      <c r="G20" s="4" t="s">
        <v>360</v>
      </c>
      <c r="H20" s="4" t="s">
        <v>286</v>
      </c>
      <c r="I20" s="4" t="s">
        <v>361</v>
      </c>
      <c r="J20" s="4" t="s">
        <v>362</v>
      </c>
      <c r="K20" s="4" t="s">
        <v>363</v>
      </c>
      <c r="L20" s="4"/>
      <c r="M20" s="4"/>
      <c r="N20" s="4"/>
    </row>
    <row r="21" spans="1:14" ht="30" customHeight="1" x14ac:dyDescent="0.15">
      <c r="A21" s="4" t="s">
        <v>73</v>
      </c>
      <c r="B21" s="4" t="s">
        <v>364</v>
      </c>
      <c r="C21" s="4" t="s">
        <v>322</v>
      </c>
      <c r="D21" s="4" t="s">
        <v>279</v>
      </c>
      <c r="E21" s="4" t="s">
        <v>365</v>
      </c>
      <c r="F21" s="4"/>
      <c r="G21" s="4" t="s">
        <v>366</v>
      </c>
      <c r="H21" s="4" t="s">
        <v>280</v>
      </c>
      <c r="I21" s="4" t="s">
        <v>367</v>
      </c>
      <c r="J21" s="4" t="s">
        <v>368</v>
      </c>
      <c r="K21" s="4" t="s">
        <v>369</v>
      </c>
      <c r="L21" s="4"/>
      <c r="M21" s="4"/>
      <c r="N21" s="4"/>
    </row>
    <row r="22" spans="1:14" ht="30" customHeight="1" x14ac:dyDescent="0.15">
      <c r="A22" s="4" t="s">
        <v>74</v>
      </c>
      <c r="B22" s="4" t="s">
        <v>318</v>
      </c>
      <c r="C22" s="4" t="s">
        <v>370</v>
      </c>
      <c r="D22" s="4" t="s">
        <v>293</v>
      </c>
      <c r="E22" s="4" t="s">
        <v>371</v>
      </c>
      <c r="F22" s="4"/>
      <c r="G22" s="4" t="s">
        <v>372</v>
      </c>
      <c r="H22" s="4"/>
      <c r="I22" s="4" t="s">
        <v>373</v>
      </c>
      <c r="J22" s="4" t="s">
        <v>374</v>
      </c>
      <c r="K22" s="4" t="s">
        <v>375</v>
      </c>
      <c r="L22" s="4" t="s">
        <v>376</v>
      </c>
      <c r="M22" s="4"/>
      <c r="N22" s="4"/>
    </row>
    <row r="23" spans="1:14" ht="30" customHeight="1" x14ac:dyDescent="0.15">
      <c r="A23" s="4" t="s">
        <v>75</v>
      </c>
      <c r="B23" s="4" t="s">
        <v>324</v>
      </c>
      <c r="C23" s="4" t="s">
        <v>377</v>
      </c>
      <c r="D23" s="4" t="s">
        <v>300</v>
      </c>
      <c r="E23" s="4" t="s">
        <v>378</v>
      </c>
      <c r="F23" s="4"/>
      <c r="G23" s="4" t="s">
        <v>379</v>
      </c>
      <c r="H23" s="4"/>
      <c r="I23" s="4" t="s">
        <v>380</v>
      </c>
      <c r="J23" s="4" t="s">
        <v>381</v>
      </c>
      <c r="K23" s="4" t="s">
        <v>382</v>
      </c>
      <c r="L23" s="4" t="s">
        <v>383</v>
      </c>
      <c r="M23" s="4"/>
      <c r="N23" s="4"/>
    </row>
    <row r="24" spans="1:14" ht="30" customHeight="1" x14ac:dyDescent="0.15">
      <c r="A24" s="4" t="s">
        <v>76</v>
      </c>
      <c r="B24" s="4" t="s">
        <v>329</v>
      </c>
      <c r="C24" s="4" t="s">
        <v>384</v>
      </c>
      <c r="D24" s="4" t="s">
        <v>310</v>
      </c>
      <c r="E24" s="4" t="s">
        <v>385</v>
      </c>
      <c r="F24" s="4" t="s">
        <v>386</v>
      </c>
      <c r="G24" s="4" t="s">
        <v>387</v>
      </c>
      <c r="H24" s="4" t="s">
        <v>280</v>
      </c>
      <c r="I24" s="4" t="s">
        <v>388</v>
      </c>
      <c r="J24" s="4" t="s">
        <v>389</v>
      </c>
      <c r="K24" s="4" t="s">
        <v>390</v>
      </c>
      <c r="L24" s="4" t="s">
        <v>391</v>
      </c>
      <c r="M24" s="4"/>
      <c r="N24" s="4"/>
    </row>
    <row r="25" spans="1:14" ht="30" customHeight="1" x14ac:dyDescent="0.15">
      <c r="A25" s="4" t="s">
        <v>77</v>
      </c>
      <c r="B25" s="4" t="s">
        <v>335</v>
      </c>
      <c r="C25" s="4" t="s">
        <v>392</v>
      </c>
      <c r="D25" s="4" t="s">
        <v>322</v>
      </c>
      <c r="E25" s="4" t="s">
        <v>393</v>
      </c>
      <c r="F25" s="4" t="s">
        <v>394</v>
      </c>
      <c r="G25" s="4" t="s">
        <v>395</v>
      </c>
      <c r="H25" s="4" t="s">
        <v>286</v>
      </c>
      <c r="I25" s="4" t="s">
        <v>396</v>
      </c>
      <c r="J25" s="4" t="s">
        <v>397</v>
      </c>
      <c r="K25" s="4" t="s">
        <v>398</v>
      </c>
      <c r="L25" s="4" t="s">
        <v>399</v>
      </c>
      <c r="M25" s="4"/>
      <c r="N25" s="4"/>
    </row>
    <row r="26" spans="1:14" ht="30" customHeight="1" x14ac:dyDescent="0.15">
      <c r="A26" s="4" t="s">
        <v>78</v>
      </c>
      <c r="B26" s="4" t="s">
        <v>267</v>
      </c>
      <c r="C26" s="4" t="s">
        <v>400</v>
      </c>
      <c r="D26" s="4" t="s">
        <v>328</v>
      </c>
      <c r="E26" s="4"/>
      <c r="F26" s="4" t="s">
        <v>401</v>
      </c>
      <c r="G26" s="4" t="s">
        <v>402</v>
      </c>
      <c r="H26" s="4" t="s">
        <v>403</v>
      </c>
      <c r="I26" s="4" t="s">
        <v>404</v>
      </c>
      <c r="J26" s="4" t="s">
        <v>405</v>
      </c>
      <c r="K26" s="4" t="s">
        <v>406</v>
      </c>
      <c r="L26" s="4"/>
      <c r="M26" s="4" t="s">
        <v>407</v>
      </c>
      <c r="N26" s="4"/>
    </row>
    <row r="27" spans="1:14" ht="30" customHeight="1" x14ac:dyDescent="0.15">
      <c r="A27" s="4" t="s">
        <v>79</v>
      </c>
      <c r="B27" s="4" t="s">
        <v>272</v>
      </c>
      <c r="C27" s="4" t="s">
        <v>408</v>
      </c>
      <c r="D27" s="4" t="s">
        <v>334</v>
      </c>
      <c r="E27" s="4"/>
      <c r="F27" s="4" t="s">
        <v>409</v>
      </c>
      <c r="G27" s="4" t="s">
        <v>410</v>
      </c>
      <c r="H27" s="4" t="s">
        <v>411</v>
      </c>
      <c r="I27" s="4" t="s">
        <v>412</v>
      </c>
      <c r="J27" s="4" t="s">
        <v>413</v>
      </c>
      <c r="K27" s="4" t="s">
        <v>414</v>
      </c>
      <c r="L27" s="4" t="s">
        <v>265</v>
      </c>
      <c r="M27" s="4" t="s">
        <v>415</v>
      </c>
      <c r="N27" s="4"/>
    </row>
    <row r="28" spans="1:14" ht="30" customHeight="1" x14ac:dyDescent="0.15">
      <c r="A28" s="4" t="s">
        <v>80</v>
      </c>
      <c r="B28" s="4" t="s">
        <v>278</v>
      </c>
      <c r="C28" s="4" t="s">
        <v>416</v>
      </c>
      <c r="D28" s="4" t="s">
        <v>340</v>
      </c>
      <c r="E28" s="4" t="s">
        <v>278</v>
      </c>
      <c r="F28" s="4" t="s">
        <v>386</v>
      </c>
      <c r="G28" s="4" t="s">
        <v>417</v>
      </c>
      <c r="H28" s="4" t="s">
        <v>418</v>
      </c>
      <c r="I28" s="4" t="s">
        <v>419</v>
      </c>
      <c r="J28" s="4" t="s">
        <v>420</v>
      </c>
      <c r="K28" s="4" t="s">
        <v>421</v>
      </c>
      <c r="L28" s="4" t="s">
        <v>259</v>
      </c>
      <c r="M28" s="4" t="s">
        <v>422</v>
      </c>
      <c r="N28" s="4"/>
    </row>
    <row r="29" spans="1:14" ht="30" customHeight="1" x14ac:dyDescent="0.15">
      <c r="A29" s="4" t="s">
        <v>81</v>
      </c>
      <c r="B29" s="4" t="s">
        <v>290</v>
      </c>
      <c r="C29" s="4" t="s">
        <v>423</v>
      </c>
      <c r="D29" s="4" t="s">
        <v>344</v>
      </c>
      <c r="E29" s="4" t="s">
        <v>290</v>
      </c>
      <c r="F29" s="4" t="s">
        <v>394</v>
      </c>
      <c r="G29" s="4" t="s">
        <v>424</v>
      </c>
      <c r="H29" s="4" t="s">
        <v>425</v>
      </c>
      <c r="I29" s="4" t="s">
        <v>426</v>
      </c>
      <c r="J29" s="4" t="s">
        <v>427</v>
      </c>
      <c r="K29" s="4" t="s">
        <v>428</v>
      </c>
      <c r="L29" s="4" t="s">
        <v>270</v>
      </c>
      <c r="M29" s="4" t="s">
        <v>429</v>
      </c>
      <c r="N29" s="4"/>
    </row>
    <row r="30" spans="1:14" ht="30" customHeight="1" x14ac:dyDescent="0.15">
      <c r="A30" s="4" t="s">
        <v>82</v>
      </c>
      <c r="B30" s="4" t="s">
        <v>313</v>
      </c>
      <c r="C30" s="4" t="s">
        <v>430</v>
      </c>
      <c r="D30" s="4"/>
      <c r="E30" s="4" t="s">
        <v>298</v>
      </c>
      <c r="F30" s="4" t="s">
        <v>292</v>
      </c>
      <c r="G30" s="4" t="s">
        <v>431</v>
      </c>
      <c r="H30" s="4" t="s">
        <v>361</v>
      </c>
      <c r="I30" s="4"/>
      <c r="J30" s="4"/>
      <c r="K30" s="4" t="s">
        <v>432</v>
      </c>
      <c r="L30" s="4"/>
      <c r="M30" s="4" t="s">
        <v>433</v>
      </c>
      <c r="N30" s="4"/>
    </row>
    <row r="31" spans="1:14" ht="30" customHeight="1" x14ac:dyDescent="0.15">
      <c r="A31" s="4" t="s">
        <v>83</v>
      </c>
      <c r="B31" s="4" t="s">
        <v>306</v>
      </c>
      <c r="C31" s="4" t="s">
        <v>434</v>
      </c>
      <c r="D31" s="4"/>
      <c r="E31" s="4" t="s">
        <v>311</v>
      </c>
      <c r="F31" s="4" t="s">
        <v>299</v>
      </c>
      <c r="G31" s="4" t="s">
        <v>435</v>
      </c>
      <c r="H31" s="4" t="s">
        <v>367</v>
      </c>
      <c r="I31" s="4" t="s">
        <v>436</v>
      </c>
      <c r="J31" s="4" t="s">
        <v>437</v>
      </c>
      <c r="K31" s="4" t="s">
        <v>438</v>
      </c>
      <c r="L31" s="4" t="s">
        <v>439</v>
      </c>
      <c r="M31" s="4" t="s">
        <v>440</v>
      </c>
      <c r="N31" s="4"/>
    </row>
    <row r="32" spans="1:14" ht="30" customHeight="1" x14ac:dyDescent="0.15">
      <c r="A32" s="4" t="s">
        <v>84</v>
      </c>
      <c r="B32" s="4" t="s">
        <v>285</v>
      </c>
      <c r="C32" s="4" t="s">
        <v>441</v>
      </c>
      <c r="D32" s="4" t="s">
        <v>286</v>
      </c>
      <c r="E32" s="4" t="s">
        <v>323</v>
      </c>
      <c r="F32" s="4" t="s">
        <v>305</v>
      </c>
      <c r="G32" s="4" t="s">
        <v>442</v>
      </c>
      <c r="H32" s="4" t="s">
        <v>430</v>
      </c>
      <c r="I32" s="4" t="s">
        <v>443</v>
      </c>
      <c r="J32" s="4" t="s">
        <v>444</v>
      </c>
      <c r="K32" s="4" t="s">
        <v>445</v>
      </c>
      <c r="L32" s="4" t="s">
        <v>446</v>
      </c>
      <c r="M32" s="4" t="s">
        <v>447</v>
      </c>
      <c r="N32" s="4"/>
    </row>
    <row r="33" spans="1:14" ht="30" customHeight="1" x14ac:dyDescent="0.15">
      <c r="A33" s="4" t="s">
        <v>85</v>
      </c>
      <c r="B33" s="4" t="s">
        <v>279</v>
      </c>
      <c r="C33" s="4" t="s">
        <v>448</v>
      </c>
      <c r="D33" s="4" t="s">
        <v>280</v>
      </c>
      <c r="E33" s="4" t="s">
        <v>353</v>
      </c>
      <c r="F33" s="4" t="s">
        <v>312</v>
      </c>
      <c r="G33" s="4" t="s">
        <v>449</v>
      </c>
      <c r="H33" s="4" t="s">
        <v>450</v>
      </c>
      <c r="I33" s="4" t="s">
        <v>256</v>
      </c>
      <c r="J33" s="4" t="s">
        <v>257</v>
      </c>
      <c r="K33" s="4" t="s">
        <v>451</v>
      </c>
      <c r="L33" s="4"/>
      <c r="M33" s="4" t="s">
        <v>452</v>
      </c>
      <c r="N33" s="4"/>
    </row>
    <row r="34" spans="1:14" ht="30" customHeight="1" x14ac:dyDescent="0.15">
      <c r="A34" s="4" t="s">
        <v>86</v>
      </c>
      <c r="B34" s="4" t="s">
        <v>256</v>
      </c>
      <c r="C34" s="4" t="s">
        <v>453</v>
      </c>
      <c r="D34" s="4" t="s">
        <v>347</v>
      </c>
      <c r="E34" s="4"/>
      <c r="F34" s="4"/>
      <c r="G34" s="4" t="s">
        <v>454</v>
      </c>
      <c r="H34" s="4" t="s">
        <v>455</v>
      </c>
      <c r="I34" s="4" t="s">
        <v>262</v>
      </c>
      <c r="J34" s="4" t="s">
        <v>263</v>
      </c>
      <c r="K34" s="4"/>
      <c r="L34" s="4"/>
      <c r="M34" s="4" t="s">
        <v>456</v>
      </c>
      <c r="N34" s="4"/>
    </row>
    <row r="35" spans="1:14" ht="30" customHeight="1" x14ac:dyDescent="0.15">
      <c r="A35" s="4" t="s">
        <v>87</v>
      </c>
      <c r="B35" s="4" t="s">
        <v>262</v>
      </c>
      <c r="C35" s="4" t="s">
        <v>450</v>
      </c>
      <c r="D35" s="4" t="s">
        <v>352</v>
      </c>
      <c r="E35" s="4"/>
      <c r="F35" s="4"/>
      <c r="G35" s="4" t="s">
        <v>457</v>
      </c>
      <c r="H35" s="4" t="s">
        <v>373</v>
      </c>
      <c r="I35" s="4"/>
      <c r="J35" s="4"/>
      <c r="K35" s="4"/>
      <c r="L35" s="4"/>
      <c r="M35" s="4" t="s">
        <v>458</v>
      </c>
      <c r="N35" s="4"/>
    </row>
    <row r="36" spans="1:14" ht="30" customHeight="1" x14ac:dyDescent="0.15">
      <c r="A36" s="4" t="s">
        <v>88</v>
      </c>
      <c r="B36" s="4" t="s">
        <v>267</v>
      </c>
      <c r="C36" s="4" t="s">
        <v>361</v>
      </c>
      <c r="D36" s="4" t="s">
        <v>358</v>
      </c>
      <c r="E36" s="4"/>
      <c r="F36" s="4" t="s">
        <v>268</v>
      </c>
      <c r="G36" s="4" t="s">
        <v>459</v>
      </c>
      <c r="H36" s="4" t="s">
        <v>380</v>
      </c>
      <c r="I36" s="4" t="s">
        <v>436</v>
      </c>
      <c r="J36" s="4" t="s">
        <v>460</v>
      </c>
      <c r="K36" s="4" t="s">
        <v>306</v>
      </c>
      <c r="L36" s="4" t="s">
        <v>439</v>
      </c>
      <c r="M36" s="4"/>
      <c r="N36" s="4"/>
    </row>
    <row r="37" spans="1:14" ht="30" customHeight="1" x14ac:dyDescent="0.15">
      <c r="A37" s="4" t="s">
        <v>89</v>
      </c>
      <c r="B37" s="4" t="s">
        <v>313</v>
      </c>
      <c r="C37" s="4" t="s">
        <v>367</v>
      </c>
      <c r="D37" s="4" t="s">
        <v>364</v>
      </c>
      <c r="E37" s="4"/>
      <c r="F37" s="4" t="s">
        <v>274</v>
      </c>
      <c r="G37" s="4" t="s">
        <v>461</v>
      </c>
      <c r="H37" s="4" t="s">
        <v>462</v>
      </c>
      <c r="I37" s="4" t="s">
        <v>443</v>
      </c>
      <c r="J37" s="4" t="s">
        <v>463</v>
      </c>
      <c r="K37" s="4"/>
      <c r="L37" s="4" t="s">
        <v>446</v>
      </c>
      <c r="M37" s="4"/>
      <c r="N37" s="4"/>
    </row>
    <row r="38" spans="1:14" ht="30" customHeight="1" x14ac:dyDescent="0.15">
      <c r="A38" s="4" t="s">
        <v>90</v>
      </c>
      <c r="B38" s="4" t="s">
        <v>306</v>
      </c>
      <c r="C38" s="4" t="s">
        <v>464</v>
      </c>
      <c r="D38" s="4"/>
      <c r="E38" s="4"/>
      <c r="F38" s="4" t="s">
        <v>285</v>
      </c>
      <c r="G38" s="4" t="s">
        <v>465</v>
      </c>
      <c r="H38" s="4" t="s">
        <v>466</v>
      </c>
      <c r="I38" s="4" t="s">
        <v>286</v>
      </c>
      <c r="J38" s="4"/>
      <c r="K38" s="4" t="s">
        <v>349</v>
      </c>
      <c r="L38" s="4"/>
      <c r="M38" s="4"/>
      <c r="N38" s="4"/>
    </row>
    <row r="39" spans="1:14" ht="30" customHeight="1" x14ac:dyDescent="0.15">
      <c r="A39" s="4" t="s">
        <v>91</v>
      </c>
      <c r="B39" s="4" t="s">
        <v>272</v>
      </c>
      <c r="C39" s="4" t="s">
        <v>455</v>
      </c>
      <c r="D39" s="4"/>
      <c r="E39" s="4"/>
      <c r="F39" s="4" t="s">
        <v>279</v>
      </c>
      <c r="G39" s="4" t="s">
        <v>467</v>
      </c>
      <c r="H39" s="4" t="s">
        <v>468</v>
      </c>
      <c r="I39" s="4" t="s">
        <v>280</v>
      </c>
      <c r="J39" s="4"/>
      <c r="K39" s="4" t="s">
        <v>360</v>
      </c>
      <c r="L39" s="4"/>
      <c r="M39" s="4"/>
      <c r="N39" s="4"/>
    </row>
    <row r="40" spans="1:14" ht="30" customHeight="1" x14ac:dyDescent="0.15">
      <c r="A40" s="4" t="s">
        <v>92</v>
      </c>
      <c r="B40" s="4"/>
      <c r="C40" s="4" t="s">
        <v>462</v>
      </c>
      <c r="D40" s="4"/>
      <c r="E40" s="4" t="s">
        <v>330</v>
      </c>
      <c r="F40" s="4" t="s">
        <v>293</v>
      </c>
      <c r="G40" s="4" t="s">
        <v>469</v>
      </c>
      <c r="H40" s="4" t="s">
        <v>470</v>
      </c>
      <c r="I40" s="4" t="s">
        <v>471</v>
      </c>
      <c r="J40" s="4" t="s">
        <v>460</v>
      </c>
      <c r="K40" s="4" t="s">
        <v>372</v>
      </c>
      <c r="L40" s="4"/>
      <c r="M40" s="4"/>
      <c r="N40" s="4"/>
    </row>
    <row r="41" spans="1:14" ht="30" customHeight="1" x14ac:dyDescent="0.15">
      <c r="A41" s="4" t="s">
        <v>93</v>
      </c>
      <c r="B41" s="4"/>
      <c r="C41" s="4" t="s">
        <v>466</v>
      </c>
      <c r="D41" s="4"/>
      <c r="E41" s="4" t="s">
        <v>336</v>
      </c>
      <c r="F41" s="4" t="s">
        <v>300</v>
      </c>
      <c r="G41" s="4" t="s">
        <v>472</v>
      </c>
      <c r="H41" s="4" t="s">
        <v>473</v>
      </c>
      <c r="I41" s="4" t="s">
        <v>474</v>
      </c>
      <c r="J41" s="4" t="s">
        <v>463</v>
      </c>
      <c r="K41" s="4" t="s">
        <v>387</v>
      </c>
      <c r="L41" s="4"/>
      <c r="M41" s="4"/>
      <c r="N41" s="4"/>
    </row>
    <row r="42" spans="1:14" ht="30" customHeight="1" x14ac:dyDescent="0.15">
      <c r="A42" s="4" t="s">
        <v>94</v>
      </c>
      <c r="B42" s="4"/>
      <c r="C42" s="4" t="s">
        <v>468</v>
      </c>
      <c r="D42" s="4"/>
      <c r="E42" s="4"/>
      <c r="F42" s="4" t="s">
        <v>268</v>
      </c>
      <c r="G42" s="4"/>
      <c r="H42" s="4"/>
      <c r="I42" s="4"/>
      <c r="J42" s="4" t="s">
        <v>460</v>
      </c>
      <c r="K42" s="4"/>
      <c r="L42" s="4" t="s">
        <v>437</v>
      </c>
      <c r="M42" s="4"/>
      <c r="N42" s="4"/>
    </row>
    <row r="43" spans="1:14" ht="30" customHeight="1" x14ac:dyDescent="0.15">
      <c r="A43" s="4" t="s">
        <v>95</v>
      </c>
      <c r="B43" s="4"/>
      <c r="C43" s="4" t="s">
        <v>470</v>
      </c>
      <c r="D43" s="4"/>
      <c r="E43" s="4"/>
      <c r="F43" s="4" t="s">
        <v>274</v>
      </c>
      <c r="G43" s="4"/>
      <c r="H43" s="4"/>
      <c r="I43" s="4" t="s">
        <v>475</v>
      </c>
      <c r="J43" s="4" t="s">
        <v>463</v>
      </c>
      <c r="K43" s="4"/>
      <c r="L43" s="4" t="s">
        <v>444</v>
      </c>
      <c r="M43" s="4"/>
      <c r="N43" s="4"/>
    </row>
    <row r="44" spans="1:14" ht="30" customHeight="1" x14ac:dyDescent="0.15">
      <c r="A44" s="4" t="s">
        <v>96</v>
      </c>
      <c r="B44" s="4"/>
      <c r="C44" s="4"/>
      <c r="D44" s="4"/>
      <c r="E44" s="4"/>
      <c r="F44" s="4" t="s">
        <v>256</v>
      </c>
      <c r="G44" s="4"/>
      <c r="H44" s="4"/>
      <c r="I44" s="4" t="s">
        <v>476</v>
      </c>
      <c r="J44" s="4" t="s">
        <v>477</v>
      </c>
      <c r="K44" s="4"/>
      <c r="L44" s="4"/>
      <c r="M44" s="4" t="s">
        <v>306</v>
      </c>
      <c r="N44" s="4" t="s">
        <v>478</v>
      </c>
    </row>
    <row r="45" spans="1:14" ht="30" customHeight="1" x14ac:dyDescent="0.15">
      <c r="A45" s="4" t="s">
        <v>97</v>
      </c>
      <c r="B45" s="4"/>
      <c r="C45" s="4"/>
      <c r="D45" s="4"/>
      <c r="E45" s="4"/>
      <c r="F45" s="4" t="s">
        <v>262</v>
      </c>
      <c r="G45" s="4"/>
      <c r="H45" s="4"/>
      <c r="I45" s="4" t="s">
        <v>479</v>
      </c>
      <c r="J45" s="4" t="s">
        <v>480</v>
      </c>
      <c r="K45" s="4"/>
      <c r="L45" s="4"/>
      <c r="M45" s="4" t="s">
        <v>313</v>
      </c>
      <c r="N45" s="4" t="s">
        <v>481</v>
      </c>
    </row>
    <row r="46" spans="1:14" ht="30" customHeight="1" x14ac:dyDescent="0.15">
      <c r="A46" s="4" t="s">
        <v>98</v>
      </c>
      <c r="B46" s="4"/>
      <c r="C46" s="4" t="s">
        <v>473</v>
      </c>
      <c r="D46" s="4"/>
      <c r="E46" s="4"/>
      <c r="F46" s="4"/>
      <c r="G46" s="4"/>
      <c r="H46" s="4"/>
      <c r="I46" s="4"/>
      <c r="J46" s="4" t="s">
        <v>482</v>
      </c>
      <c r="K46" s="4"/>
      <c r="L46" s="4" t="s">
        <v>483</v>
      </c>
      <c r="M46" s="4"/>
      <c r="N46" s="4"/>
    </row>
    <row r="47" spans="1:14" ht="30" customHeight="1" x14ac:dyDescent="0.15">
      <c r="A47" s="4" t="s">
        <v>99</v>
      </c>
      <c r="B47" s="4"/>
      <c r="C47" s="4" t="s">
        <v>484</v>
      </c>
      <c r="D47" s="4"/>
      <c r="E47" s="4"/>
      <c r="F47" s="4"/>
      <c r="G47" s="4"/>
      <c r="H47" s="4"/>
      <c r="I47" s="4"/>
      <c r="J47" s="4" t="s">
        <v>485</v>
      </c>
      <c r="K47" s="4"/>
      <c r="L47" s="4" t="s">
        <v>486</v>
      </c>
      <c r="M47" s="4"/>
      <c r="N47" s="4"/>
    </row>
    <row r="48" spans="1:14" ht="30" customHeight="1" x14ac:dyDescent="0.15">
      <c r="A48" s="4" t="s">
        <v>100</v>
      </c>
      <c r="B48" s="4"/>
      <c r="C48" s="4" t="s">
        <v>487</v>
      </c>
      <c r="D48" s="4"/>
      <c r="E48" s="4"/>
      <c r="F48" s="4" t="s">
        <v>488</v>
      </c>
      <c r="G48" s="4"/>
      <c r="H48" s="4"/>
      <c r="I48" s="4"/>
      <c r="J48" s="4" t="s">
        <v>489</v>
      </c>
      <c r="K48" s="4"/>
      <c r="L48" s="4" t="s">
        <v>420</v>
      </c>
      <c r="M48" s="4"/>
      <c r="N48" s="4"/>
    </row>
    <row r="49" spans="1:14" ht="30" customHeight="1" x14ac:dyDescent="0.15">
      <c r="A49" s="4" t="s">
        <v>101</v>
      </c>
      <c r="B49" s="4"/>
      <c r="C49" s="4" t="s">
        <v>490</v>
      </c>
      <c r="D49" s="4"/>
      <c r="E49" s="4"/>
      <c r="F49" s="4" t="s">
        <v>491</v>
      </c>
      <c r="G49" s="4"/>
      <c r="H49" s="4"/>
      <c r="I49" s="4"/>
      <c r="J49" s="4" t="s">
        <v>492</v>
      </c>
      <c r="K49" s="4"/>
      <c r="L49" s="4" t="s">
        <v>427</v>
      </c>
      <c r="M49" s="4"/>
      <c r="N49" s="4"/>
    </row>
    <row r="50" spans="1:14" ht="30" customHeight="1" x14ac:dyDescent="0.15">
      <c r="A50" s="4" t="s">
        <v>102</v>
      </c>
      <c r="B50" s="4" t="s">
        <v>278</v>
      </c>
      <c r="C50" s="4" t="s">
        <v>493</v>
      </c>
      <c r="D50" s="4"/>
      <c r="E50" s="4"/>
      <c r="F50" s="4" t="s">
        <v>306</v>
      </c>
      <c r="G50" s="4" t="s">
        <v>349</v>
      </c>
      <c r="H50" s="4"/>
      <c r="I50" s="4"/>
      <c r="J50" s="4" t="s">
        <v>494</v>
      </c>
      <c r="K50" s="4"/>
      <c r="L50" s="4" t="s">
        <v>495</v>
      </c>
      <c r="M50" s="4"/>
      <c r="N50" s="4"/>
    </row>
    <row r="51" spans="1:14" ht="30" customHeight="1" x14ac:dyDescent="0.15">
      <c r="A51" s="4" t="s">
        <v>103</v>
      </c>
      <c r="B51" s="4" t="s">
        <v>290</v>
      </c>
      <c r="C51" s="4" t="s">
        <v>496</v>
      </c>
      <c r="D51" s="4"/>
      <c r="E51" s="4"/>
      <c r="F51" s="4" t="s">
        <v>313</v>
      </c>
      <c r="G51" s="4" t="s">
        <v>355</v>
      </c>
      <c r="H51" s="4" t="s">
        <v>484</v>
      </c>
      <c r="I51" s="4"/>
      <c r="J51" s="4" t="s">
        <v>497</v>
      </c>
      <c r="K51" s="4" t="s">
        <v>402</v>
      </c>
      <c r="L51" s="4" t="s">
        <v>259</v>
      </c>
      <c r="M51" s="4"/>
      <c r="N51" s="4"/>
    </row>
    <row r="52" spans="1:14" ht="30" customHeight="1" x14ac:dyDescent="0.15">
      <c r="A52" s="4" t="s">
        <v>104</v>
      </c>
      <c r="B52" s="4" t="s">
        <v>318</v>
      </c>
      <c r="C52" s="4" t="s">
        <v>498</v>
      </c>
      <c r="D52" s="4"/>
      <c r="E52" s="4"/>
      <c r="F52" s="4" t="s">
        <v>376</v>
      </c>
      <c r="G52" s="4" t="s">
        <v>360</v>
      </c>
      <c r="H52" s="4" t="s">
        <v>487</v>
      </c>
      <c r="I52" s="4"/>
      <c r="J52" s="4" t="s">
        <v>471</v>
      </c>
      <c r="K52" s="4" t="s">
        <v>417</v>
      </c>
      <c r="L52" s="4" t="s">
        <v>265</v>
      </c>
      <c r="M52" s="4"/>
      <c r="N52" s="4"/>
    </row>
    <row r="53" spans="1:14" ht="30" customHeight="1" x14ac:dyDescent="0.15">
      <c r="A53" s="4" t="s">
        <v>105</v>
      </c>
      <c r="B53" s="4" t="s">
        <v>324</v>
      </c>
      <c r="C53" s="4" t="s">
        <v>499</v>
      </c>
      <c r="D53" s="4"/>
      <c r="E53" s="4"/>
      <c r="F53" s="4" t="s">
        <v>383</v>
      </c>
      <c r="G53" s="4" t="s">
        <v>366</v>
      </c>
      <c r="H53" s="4" t="s">
        <v>490</v>
      </c>
      <c r="I53" s="4"/>
      <c r="J53" s="4" t="s">
        <v>474</v>
      </c>
      <c r="K53" s="4" t="s">
        <v>431</v>
      </c>
      <c r="L53" s="4" t="s">
        <v>270</v>
      </c>
      <c r="M53" s="4"/>
      <c r="N53" s="4"/>
    </row>
    <row r="54" spans="1:14" ht="30" customHeight="1" x14ac:dyDescent="0.15">
      <c r="A54" s="4" t="s">
        <v>106</v>
      </c>
      <c r="B54" s="4" t="s">
        <v>329</v>
      </c>
      <c r="C54" s="4" t="s">
        <v>500</v>
      </c>
      <c r="D54" s="4"/>
      <c r="E54" s="4"/>
      <c r="F54" s="4" t="s">
        <v>391</v>
      </c>
      <c r="G54" s="4" t="s">
        <v>372</v>
      </c>
      <c r="H54" s="4" t="s">
        <v>493</v>
      </c>
      <c r="I54" s="4"/>
      <c r="J54" s="4" t="s">
        <v>501</v>
      </c>
      <c r="K54" s="4" t="s">
        <v>442</v>
      </c>
      <c r="L54" s="4" t="s">
        <v>276</v>
      </c>
      <c r="M54" s="4"/>
      <c r="N54" s="4"/>
    </row>
    <row r="55" spans="1:14" ht="30" customHeight="1" x14ac:dyDescent="0.15">
      <c r="A55" s="4" t="s">
        <v>107</v>
      </c>
      <c r="B55" s="4" t="s">
        <v>335</v>
      </c>
      <c r="C55" s="4" t="s">
        <v>502</v>
      </c>
      <c r="D55" s="4" t="s">
        <v>503</v>
      </c>
      <c r="E55" s="4"/>
      <c r="F55" s="4" t="s">
        <v>399</v>
      </c>
      <c r="G55" s="4" t="s">
        <v>379</v>
      </c>
      <c r="H55" s="4" t="s">
        <v>496</v>
      </c>
      <c r="I55" s="4"/>
      <c r="J55" s="4" t="s">
        <v>504</v>
      </c>
      <c r="K55" s="4" t="s">
        <v>355</v>
      </c>
      <c r="L55" s="4" t="s">
        <v>282</v>
      </c>
      <c r="M55" s="4"/>
      <c r="N55" s="4"/>
    </row>
    <row r="56" spans="1:14" ht="30" customHeight="1" x14ac:dyDescent="0.15">
      <c r="A56" s="4" t="s">
        <v>108</v>
      </c>
      <c r="B56" s="4" t="s">
        <v>347</v>
      </c>
      <c r="C56" s="4" t="s">
        <v>505</v>
      </c>
      <c r="D56" s="4" t="s">
        <v>506</v>
      </c>
      <c r="E56" s="4" t="s">
        <v>400</v>
      </c>
      <c r="F56" s="4" t="s">
        <v>310</v>
      </c>
      <c r="G56" s="4" t="s">
        <v>387</v>
      </c>
      <c r="H56" s="4" t="s">
        <v>498</v>
      </c>
      <c r="I56" s="4"/>
      <c r="J56" s="4" t="s">
        <v>507</v>
      </c>
      <c r="K56" s="4" t="s">
        <v>366</v>
      </c>
      <c r="L56" s="4" t="s">
        <v>288</v>
      </c>
      <c r="M56" s="4" t="s">
        <v>350</v>
      </c>
      <c r="N56" s="4"/>
    </row>
    <row r="57" spans="1:14" ht="30" customHeight="1" x14ac:dyDescent="0.15">
      <c r="A57" s="4" t="s">
        <v>109</v>
      </c>
      <c r="B57" s="4" t="s">
        <v>352</v>
      </c>
      <c r="C57" s="4" t="s">
        <v>508</v>
      </c>
      <c r="D57" s="4" t="s">
        <v>509</v>
      </c>
      <c r="E57" s="4" t="s">
        <v>408</v>
      </c>
      <c r="F57" s="4" t="s">
        <v>322</v>
      </c>
      <c r="G57" s="4" t="s">
        <v>395</v>
      </c>
      <c r="H57" s="4" t="s">
        <v>510</v>
      </c>
      <c r="I57" s="4"/>
      <c r="J57" s="4" t="s">
        <v>511</v>
      </c>
      <c r="K57" s="4" t="s">
        <v>379</v>
      </c>
      <c r="L57" s="4" t="s">
        <v>295</v>
      </c>
      <c r="M57" s="4" t="s">
        <v>356</v>
      </c>
      <c r="N57" s="4"/>
    </row>
    <row r="58" spans="1:14" ht="30" customHeight="1" x14ac:dyDescent="0.15">
      <c r="A58" s="4" t="s">
        <v>110</v>
      </c>
      <c r="B58" s="4" t="s">
        <v>358</v>
      </c>
      <c r="C58" s="4" t="s">
        <v>512</v>
      </c>
      <c r="D58" s="4" t="s">
        <v>513</v>
      </c>
      <c r="E58" s="4" t="s">
        <v>423</v>
      </c>
      <c r="F58" s="4" t="s">
        <v>330</v>
      </c>
      <c r="G58" s="4" t="s">
        <v>402</v>
      </c>
      <c r="H58" s="4" t="s">
        <v>514</v>
      </c>
      <c r="I58" s="4" t="s">
        <v>256</v>
      </c>
      <c r="J58" s="4" t="s">
        <v>485</v>
      </c>
      <c r="K58" s="4" t="s">
        <v>395</v>
      </c>
      <c r="L58" s="4" t="s">
        <v>308</v>
      </c>
      <c r="M58" s="4" t="s">
        <v>362</v>
      </c>
      <c r="N58" s="4"/>
    </row>
    <row r="59" spans="1:14" ht="30" customHeight="1" x14ac:dyDescent="0.15">
      <c r="A59" s="4" t="s">
        <v>111</v>
      </c>
      <c r="B59" s="4" t="s">
        <v>364</v>
      </c>
      <c r="C59" s="4" t="s">
        <v>515</v>
      </c>
      <c r="D59" s="4" t="s">
        <v>516</v>
      </c>
      <c r="E59" s="4" t="s">
        <v>416</v>
      </c>
      <c r="F59" s="4" t="s">
        <v>336</v>
      </c>
      <c r="G59" s="4" t="s">
        <v>410</v>
      </c>
      <c r="H59" s="4" t="s">
        <v>517</v>
      </c>
      <c r="I59" s="4" t="s">
        <v>262</v>
      </c>
      <c r="J59" s="4" t="s">
        <v>489</v>
      </c>
      <c r="K59" s="4"/>
      <c r="L59" s="4" t="s">
        <v>302</v>
      </c>
      <c r="M59" s="4" t="s">
        <v>368</v>
      </c>
      <c r="N59" s="4"/>
    </row>
    <row r="60" spans="1:14" ht="30" customHeight="1" x14ac:dyDescent="0.15">
      <c r="A60" s="4" t="s">
        <v>112</v>
      </c>
      <c r="B60" s="4" t="s">
        <v>297</v>
      </c>
      <c r="C60" s="4" t="s">
        <v>518</v>
      </c>
      <c r="D60" s="4" t="s">
        <v>519</v>
      </c>
      <c r="E60" s="4" t="s">
        <v>267</v>
      </c>
      <c r="F60" s="4" t="s">
        <v>386</v>
      </c>
      <c r="G60" s="4" t="s">
        <v>417</v>
      </c>
      <c r="H60" s="4" t="s">
        <v>520</v>
      </c>
      <c r="I60" s="4" t="s">
        <v>521</v>
      </c>
      <c r="J60" s="4" t="s">
        <v>482</v>
      </c>
      <c r="K60" s="4" t="s">
        <v>424</v>
      </c>
      <c r="L60" s="4" t="s">
        <v>315</v>
      </c>
      <c r="M60" s="4" t="s">
        <v>347</v>
      </c>
      <c r="N60" s="4"/>
    </row>
    <row r="61" spans="1:14" ht="30" customHeight="1" x14ac:dyDescent="0.15">
      <c r="A61" s="4" t="s">
        <v>113</v>
      </c>
      <c r="B61" s="4" t="s">
        <v>284</v>
      </c>
      <c r="C61" s="4" t="s">
        <v>522</v>
      </c>
      <c r="D61" s="4" t="s">
        <v>523</v>
      </c>
      <c r="E61" s="4" t="s">
        <v>272</v>
      </c>
      <c r="F61" s="4" t="s">
        <v>394</v>
      </c>
      <c r="G61" s="4" t="s">
        <v>424</v>
      </c>
      <c r="H61" s="4" t="s">
        <v>524</v>
      </c>
      <c r="I61" s="4" t="s">
        <v>525</v>
      </c>
      <c r="J61" s="4" t="s">
        <v>526</v>
      </c>
      <c r="K61" s="4" t="s">
        <v>435</v>
      </c>
      <c r="L61" s="4" t="s">
        <v>320</v>
      </c>
      <c r="M61" s="4" t="s">
        <v>352</v>
      </c>
      <c r="N61" s="4"/>
    </row>
    <row r="62" spans="1:14" ht="30" customHeight="1" x14ac:dyDescent="0.15">
      <c r="A62" s="4" t="s">
        <v>114</v>
      </c>
      <c r="B62" s="4" t="s">
        <v>273</v>
      </c>
      <c r="C62" s="4" t="s">
        <v>527</v>
      </c>
      <c r="D62" s="4" t="s">
        <v>528</v>
      </c>
      <c r="E62" s="4" t="s">
        <v>278</v>
      </c>
      <c r="F62" s="4" t="s">
        <v>401</v>
      </c>
      <c r="G62" s="4" t="s">
        <v>431</v>
      </c>
      <c r="H62" s="4" t="s">
        <v>529</v>
      </c>
      <c r="I62" s="4" t="s">
        <v>530</v>
      </c>
      <c r="J62" s="4" t="s">
        <v>531</v>
      </c>
      <c r="K62" s="4" t="s">
        <v>449</v>
      </c>
      <c r="L62" s="4" t="s">
        <v>326</v>
      </c>
      <c r="M62" s="4" t="s">
        <v>358</v>
      </c>
      <c r="N62" s="4"/>
    </row>
    <row r="63" spans="1:14" ht="30" customHeight="1" x14ac:dyDescent="0.15">
      <c r="A63" s="4" t="s">
        <v>115</v>
      </c>
      <c r="B63" s="4" t="s">
        <v>261</v>
      </c>
      <c r="C63" s="4" t="s">
        <v>532</v>
      </c>
      <c r="D63" s="4" t="s">
        <v>533</v>
      </c>
      <c r="E63" s="4" t="s">
        <v>290</v>
      </c>
      <c r="F63" s="4" t="s">
        <v>409</v>
      </c>
      <c r="G63" s="4" t="s">
        <v>435</v>
      </c>
      <c r="H63" s="4" t="s">
        <v>534</v>
      </c>
      <c r="I63" s="4" t="s">
        <v>535</v>
      </c>
      <c r="J63" s="4" t="s">
        <v>536</v>
      </c>
      <c r="K63" s="4"/>
      <c r="L63" s="4" t="s">
        <v>285</v>
      </c>
      <c r="M63" s="4" t="s">
        <v>364</v>
      </c>
      <c r="N63" s="4"/>
    </row>
    <row r="64" spans="1:14" ht="30" customHeight="1" x14ac:dyDescent="0.15">
      <c r="A64" s="4" t="s">
        <v>116</v>
      </c>
      <c r="B64" s="4" t="s">
        <v>336</v>
      </c>
      <c r="C64" s="4" t="s">
        <v>537</v>
      </c>
      <c r="D64" s="4" t="s">
        <v>538</v>
      </c>
      <c r="E64" s="4" t="s">
        <v>292</v>
      </c>
      <c r="F64" s="4" t="s">
        <v>285</v>
      </c>
      <c r="G64" s="4" t="s">
        <v>442</v>
      </c>
      <c r="H64" s="4" t="s">
        <v>539</v>
      </c>
      <c r="I64" s="4" t="s">
        <v>540</v>
      </c>
      <c r="J64" s="4" t="s">
        <v>541</v>
      </c>
      <c r="K64" s="4"/>
      <c r="L64" s="4" t="s">
        <v>279</v>
      </c>
      <c r="M64" s="4"/>
      <c r="N64" s="4"/>
    </row>
    <row r="65" spans="1:14" ht="30" customHeight="1" x14ac:dyDescent="0.15">
      <c r="A65" s="4" t="s">
        <v>117</v>
      </c>
      <c r="B65" s="4" t="s">
        <v>330</v>
      </c>
      <c r="C65" s="4" t="s">
        <v>542</v>
      </c>
      <c r="D65" s="4" t="s">
        <v>543</v>
      </c>
      <c r="E65" s="4" t="s">
        <v>299</v>
      </c>
      <c r="F65" s="4" t="s">
        <v>279</v>
      </c>
      <c r="G65" s="4" t="s">
        <v>449</v>
      </c>
      <c r="H65" s="4" t="s">
        <v>350</v>
      </c>
      <c r="I65" s="4"/>
      <c r="J65" s="4" t="s">
        <v>501</v>
      </c>
      <c r="K65" s="4" t="s">
        <v>349</v>
      </c>
      <c r="L65" s="4" t="s">
        <v>544</v>
      </c>
      <c r="M65" s="4" t="s">
        <v>401</v>
      </c>
      <c r="N65" s="4"/>
    </row>
    <row r="66" spans="1:14" ht="30" customHeight="1" x14ac:dyDescent="0.15">
      <c r="A66" s="4" t="s">
        <v>118</v>
      </c>
      <c r="B66" s="4"/>
      <c r="C66" s="4" t="s">
        <v>545</v>
      </c>
      <c r="D66" s="4" t="s">
        <v>546</v>
      </c>
      <c r="E66" s="4" t="s">
        <v>305</v>
      </c>
      <c r="F66" s="4" t="s">
        <v>313</v>
      </c>
      <c r="G66" s="4"/>
      <c r="H66" s="4" t="s">
        <v>356</v>
      </c>
      <c r="I66" s="4" t="s">
        <v>471</v>
      </c>
      <c r="J66" s="4" t="s">
        <v>504</v>
      </c>
      <c r="K66" s="4" t="s">
        <v>355</v>
      </c>
      <c r="L66" s="4" t="s">
        <v>547</v>
      </c>
      <c r="M66" s="4" t="s">
        <v>409</v>
      </c>
      <c r="N66" s="4"/>
    </row>
    <row r="67" spans="1:14" ht="30" customHeight="1" x14ac:dyDescent="0.15">
      <c r="A67" s="4" t="s">
        <v>119</v>
      </c>
      <c r="B67" s="4"/>
      <c r="C67" s="4" t="s">
        <v>548</v>
      </c>
      <c r="D67" s="4" t="s">
        <v>549</v>
      </c>
      <c r="E67" s="4" t="s">
        <v>312</v>
      </c>
      <c r="F67" s="4" t="s">
        <v>306</v>
      </c>
      <c r="G67" s="4"/>
      <c r="H67" s="4" t="s">
        <v>362</v>
      </c>
      <c r="I67" s="4" t="s">
        <v>474</v>
      </c>
      <c r="J67" s="4" t="s">
        <v>507</v>
      </c>
      <c r="K67" s="4" t="s">
        <v>360</v>
      </c>
      <c r="L67" s="4" t="s">
        <v>550</v>
      </c>
      <c r="M67" s="4" t="s">
        <v>386</v>
      </c>
      <c r="N67" s="4"/>
    </row>
    <row r="68" spans="1:14" ht="30" customHeight="1" x14ac:dyDescent="0.15">
      <c r="A68" s="4" t="s">
        <v>120</v>
      </c>
      <c r="B68" s="4"/>
      <c r="C68" s="4" t="s">
        <v>551</v>
      </c>
      <c r="D68" s="4" t="s">
        <v>552</v>
      </c>
      <c r="E68" s="4"/>
      <c r="F68" s="4" t="s">
        <v>268</v>
      </c>
      <c r="G68" s="4"/>
      <c r="H68" s="4" t="s">
        <v>368</v>
      </c>
      <c r="I68" s="4" t="s">
        <v>501</v>
      </c>
      <c r="J68" s="4" t="s">
        <v>511</v>
      </c>
      <c r="K68" s="4" t="s">
        <v>366</v>
      </c>
      <c r="L68" s="4" t="s">
        <v>553</v>
      </c>
      <c r="M68" s="4" t="s">
        <v>394</v>
      </c>
      <c r="N68" s="4"/>
    </row>
    <row r="69" spans="1:14" ht="30" customHeight="1" x14ac:dyDescent="0.15">
      <c r="A69" s="4" t="s">
        <v>121</v>
      </c>
      <c r="B69" s="4"/>
      <c r="C69" s="4" t="s">
        <v>554</v>
      </c>
      <c r="D69" s="4" t="s">
        <v>555</v>
      </c>
      <c r="E69" s="4"/>
      <c r="F69" s="4"/>
      <c r="G69" s="4"/>
      <c r="H69" s="4"/>
      <c r="I69" s="4" t="s">
        <v>497</v>
      </c>
      <c r="J69" s="4" t="s">
        <v>475</v>
      </c>
      <c r="K69" s="4" t="s">
        <v>372</v>
      </c>
      <c r="L69" s="4"/>
      <c r="M69" s="4"/>
      <c r="N69" s="4"/>
    </row>
    <row r="70" spans="1:14" ht="30" customHeight="1" x14ac:dyDescent="0.15">
      <c r="A70" s="4" t="s">
        <v>122</v>
      </c>
      <c r="B70" s="4"/>
      <c r="C70" s="4" t="s">
        <v>556</v>
      </c>
      <c r="D70" s="4" t="s">
        <v>557</v>
      </c>
      <c r="E70" s="4"/>
      <c r="F70" s="4"/>
      <c r="G70" s="4"/>
      <c r="H70" s="4"/>
      <c r="I70" s="4"/>
      <c r="J70" s="4" t="s">
        <v>558</v>
      </c>
      <c r="K70" s="4" t="s">
        <v>379</v>
      </c>
      <c r="L70" s="4" t="s">
        <v>559</v>
      </c>
      <c r="M70" s="4"/>
      <c r="N70" s="4"/>
    </row>
    <row r="71" spans="1:14" ht="30" customHeight="1" x14ac:dyDescent="0.15">
      <c r="A71" s="4" t="s">
        <v>123</v>
      </c>
      <c r="B71" s="4"/>
      <c r="C71" s="4" t="s">
        <v>560</v>
      </c>
      <c r="D71" s="4"/>
      <c r="E71" s="4"/>
      <c r="F71" s="4" t="s">
        <v>274</v>
      </c>
      <c r="G71" s="4"/>
      <c r="H71" s="4"/>
      <c r="I71" s="4" t="s">
        <v>485</v>
      </c>
      <c r="J71" s="4" t="s">
        <v>497</v>
      </c>
      <c r="K71" s="4" t="s">
        <v>387</v>
      </c>
      <c r="L71" s="4" t="s">
        <v>561</v>
      </c>
      <c r="M71" s="4" t="s">
        <v>376</v>
      </c>
      <c r="N71" s="4"/>
    </row>
    <row r="72" spans="1:14" ht="30" customHeight="1" x14ac:dyDescent="0.15">
      <c r="A72" s="4" t="s">
        <v>124</v>
      </c>
      <c r="B72" s="4"/>
      <c r="C72" s="4" t="s">
        <v>562</v>
      </c>
      <c r="D72" s="4"/>
      <c r="E72" s="4" t="s">
        <v>285</v>
      </c>
      <c r="F72" s="4" t="s">
        <v>310</v>
      </c>
      <c r="G72" s="4"/>
      <c r="H72" s="4" t="s">
        <v>286</v>
      </c>
      <c r="I72" s="4"/>
      <c r="J72" s="4" t="s">
        <v>471</v>
      </c>
      <c r="K72" s="4" t="s">
        <v>395</v>
      </c>
      <c r="L72" s="4" t="s">
        <v>563</v>
      </c>
      <c r="M72" s="4" t="s">
        <v>383</v>
      </c>
      <c r="N72" s="4"/>
    </row>
    <row r="73" spans="1:14" ht="30" customHeight="1" x14ac:dyDescent="0.15">
      <c r="A73" s="4" t="s">
        <v>125</v>
      </c>
      <c r="B73" s="4"/>
      <c r="C73" s="4" t="s">
        <v>564</v>
      </c>
      <c r="D73" s="4"/>
      <c r="E73" s="4" t="s">
        <v>279</v>
      </c>
      <c r="F73" s="4" t="s">
        <v>322</v>
      </c>
      <c r="G73" s="4"/>
      <c r="H73" s="4" t="s">
        <v>280</v>
      </c>
      <c r="I73" s="4" t="s">
        <v>501</v>
      </c>
      <c r="J73" s="4" t="s">
        <v>474</v>
      </c>
      <c r="K73" s="4"/>
      <c r="L73" s="4" t="s">
        <v>565</v>
      </c>
      <c r="M73" s="4" t="s">
        <v>391</v>
      </c>
      <c r="N73" s="4"/>
    </row>
    <row r="74" spans="1:14" ht="30" customHeight="1" x14ac:dyDescent="0.15">
      <c r="A74" s="4" t="s">
        <v>126</v>
      </c>
      <c r="B74" s="4"/>
      <c r="C74" s="4" t="s">
        <v>566</v>
      </c>
      <c r="D74" s="4"/>
      <c r="E74" s="4" t="s">
        <v>293</v>
      </c>
      <c r="F74" s="4" t="s">
        <v>330</v>
      </c>
      <c r="G74" s="4"/>
      <c r="H74" s="4"/>
      <c r="I74" s="4" t="s">
        <v>504</v>
      </c>
      <c r="J74" s="4" t="s">
        <v>541</v>
      </c>
      <c r="K74" s="4"/>
      <c r="L74" s="4" t="s">
        <v>567</v>
      </c>
      <c r="M74" s="4" t="s">
        <v>399</v>
      </c>
      <c r="N74" s="4"/>
    </row>
    <row r="75" spans="1:14" ht="30" customHeight="1" x14ac:dyDescent="0.15">
      <c r="A75" s="4" t="s">
        <v>127</v>
      </c>
      <c r="B75" s="4"/>
      <c r="C75" s="4" t="s">
        <v>568</v>
      </c>
      <c r="D75" s="4" t="s">
        <v>569</v>
      </c>
      <c r="E75" s="4" t="s">
        <v>300</v>
      </c>
      <c r="F75" s="4" t="s">
        <v>336</v>
      </c>
      <c r="G75" s="4"/>
      <c r="H75" s="4"/>
      <c r="I75" s="4" t="s">
        <v>570</v>
      </c>
      <c r="J75" s="4" t="s">
        <v>536</v>
      </c>
      <c r="K75" s="4" t="s">
        <v>417</v>
      </c>
      <c r="L75" s="4" t="s">
        <v>571</v>
      </c>
      <c r="M75" s="4"/>
      <c r="N75" s="4"/>
    </row>
    <row r="76" spans="1:14" ht="30" customHeight="1" x14ac:dyDescent="0.15">
      <c r="A76" s="4" t="s">
        <v>128</v>
      </c>
      <c r="B76" s="4"/>
      <c r="C76" s="4" t="s">
        <v>572</v>
      </c>
      <c r="D76" s="4"/>
      <c r="E76" s="4"/>
      <c r="F76" s="4"/>
      <c r="G76" s="4"/>
      <c r="H76" s="4" t="s">
        <v>280</v>
      </c>
      <c r="I76" s="4"/>
      <c r="J76" s="4" t="s">
        <v>531</v>
      </c>
      <c r="K76" s="4" t="s">
        <v>424</v>
      </c>
      <c r="L76" s="4" t="s">
        <v>573</v>
      </c>
      <c r="M76" s="4"/>
      <c r="N76" s="4"/>
    </row>
    <row r="77" spans="1:14" ht="30" customHeight="1" x14ac:dyDescent="0.15">
      <c r="A77" s="4" t="s">
        <v>129</v>
      </c>
      <c r="B77" s="4"/>
      <c r="C77" s="4" t="s">
        <v>574</v>
      </c>
      <c r="D77" s="4"/>
      <c r="E77" s="4"/>
      <c r="F77" s="4"/>
      <c r="G77" s="4"/>
      <c r="H77" s="4" t="s">
        <v>286</v>
      </c>
      <c r="I77" s="4"/>
      <c r="J77" s="4" t="s">
        <v>526</v>
      </c>
      <c r="K77" s="4" t="s">
        <v>431</v>
      </c>
      <c r="L77" s="4" t="s">
        <v>575</v>
      </c>
      <c r="M77" s="4"/>
      <c r="N77" s="4"/>
    </row>
    <row r="78" spans="1:14" ht="30" customHeight="1" x14ac:dyDescent="0.15">
      <c r="A78" s="4" t="s">
        <v>130</v>
      </c>
      <c r="B78" s="4"/>
      <c r="C78" s="4" t="s">
        <v>576</v>
      </c>
      <c r="D78" s="4"/>
      <c r="E78" s="4"/>
      <c r="F78" s="4" t="s">
        <v>491</v>
      </c>
      <c r="G78" s="4"/>
      <c r="H78" s="4"/>
      <c r="I78" s="4" t="s">
        <v>474</v>
      </c>
      <c r="J78" s="4"/>
      <c r="K78" s="4" t="s">
        <v>435</v>
      </c>
      <c r="L78" s="4" t="s">
        <v>577</v>
      </c>
      <c r="M78" s="4"/>
      <c r="N78" s="4"/>
    </row>
    <row r="79" spans="1:14" ht="30" customHeight="1" x14ac:dyDescent="0.15">
      <c r="A79" s="4" t="s">
        <v>131</v>
      </c>
      <c r="B79" s="4"/>
      <c r="C79" s="4" t="s">
        <v>539</v>
      </c>
      <c r="D79" s="4"/>
      <c r="E79" s="4"/>
      <c r="F79" s="4" t="s">
        <v>488</v>
      </c>
      <c r="G79" s="4"/>
      <c r="H79" s="4"/>
      <c r="I79" s="4"/>
      <c r="J79" s="4"/>
      <c r="K79" s="4" t="s">
        <v>442</v>
      </c>
      <c r="L79" s="4" t="s">
        <v>578</v>
      </c>
      <c r="M79" s="4"/>
      <c r="N79" s="4"/>
    </row>
    <row r="80" spans="1:14" ht="30" customHeight="1" x14ac:dyDescent="0.15">
      <c r="A80" s="4" t="s">
        <v>132</v>
      </c>
      <c r="B80" s="4"/>
      <c r="C80" s="4" t="s">
        <v>534</v>
      </c>
      <c r="D80" s="4"/>
      <c r="E80" s="4"/>
      <c r="F80" s="4" t="s">
        <v>400</v>
      </c>
      <c r="G80" s="4"/>
      <c r="H80" s="4"/>
      <c r="I80" s="4"/>
      <c r="J80" s="4"/>
      <c r="K80" s="4" t="s">
        <v>449</v>
      </c>
      <c r="L80" s="4" t="s">
        <v>579</v>
      </c>
      <c r="M80" s="4"/>
      <c r="N80" s="4"/>
    </row>
    <row r="81" spans="1:14" ht="30" customHeight="1" x14ac:dyDescent="0.15">
      <c r="A81" s="4" t="s">
        <v>133</v>
      </c>
      <c r="B81" s="4"/>
      <c r="C81" s="4" t="s">
        <v>529</v>
      </c>
      <c r="D81" s="4"/>
      <c r="E81" s="4"/>
      <c r="F81" s="4" t="s">
        <v>408</v>
      </c>
      <c r="G81" s="4"/>
      <c r="H81" s="4"/>
      <c r="I81" s="4"/>
      <c r="J81" s="4"/>
      <c r="K81" s="4" t="s">
        <v>402</v>
      </c>
      <c r="L81" s="4" t="s">
        <v>580</v>
      </c>
      <c r="M81" s="4"/>
      <c r="N81" s="4"/>
    </row>
    <row r="82" spans="1:14" ht="30" customHeight="1" x14ac:dyDescent="0.15">
      <c r="A82" s="4" t="s">
        <v>134</v>
      </c>
      <c r="B82" s="4"/>
      <c r="C82" s="4" t="s">
        <v>524</v>
      </c>
      <c r="D82" s="4"/>
      <c r="E82" s="4"/>
      <c r="F82" s="4" t="s">
        <v>423</v>
      </c>
      <c r="G82" s="4"/>
      <c r="H82" s="4"/>
      <c r="I82" s="4"/>
      <c r="J82" s="4"/>
      <c r="K82" s="4" t="s">
        <v>410</v>
      </c>
      <c r="L82" s="4" t="s">
        <v>581</v>
      </c>
      <c r="M82" s="4"/>
      <c r="N82" s="4"/>
    </row>
    <row r="83" spans="1:14" ht="30" customHeight="1" x14ac:dyDescent="0.15">
      <c r="A83" s="4" t="s">
        <v>135</v>
      </c>
      <c r="B83" s="4"/>
      <c r="C83" s="4" t="s">
        <v>520</v>
      </c>
      <c r="D83" s="4"/>
      <c r="E83" s="4"/>
      <c r="F83" s="4" t="s">
        <v>416</v>
      </c>
      <c r="G83" s="4"/>
      <c r="H83" s="4"/>
      <c r="I83" s="4"/>
      <c r="J83" s="4"/>
      <c r="K83" s="4"/>
      <c r="L83" s="4" t="s">
        <v>582</v>
      </c>
      <c r="M83" s="4"/>
      <c r="N83" s="4"/>
    </row>
    <row r="84" spans="1:14" ht="30" customHeight="1" x14ac:dyDescent="0.15">
      <c r="A84" s="4" t="s">
        <v>136</v>
      </c>
      <c r="B84" s="4"/>
      <c r="C84" s="4" t="s">
        <v>517</v>
      </c>
      <c r="D84" s="4"/>
      <c r="E84" s="4"/>
      <c r="F84" s="4"/>
      <c r="G84" s="4"/>
      <c r="H84" s="4"/>
      <c r="I84" s="4"/>
      <c r="J84" s="4"/>
      <c r="K84" s="4"/>
      <c r="L84" s="4" t="s">
        <v>583</v>
      </c>
      <c r="M84" s="4"/>
      <c r="N84" s="4"/>
    </row>
    <row r="85" spans="1:14" ht="30" customHeight="1" x14ac:dyDescent="0.15">
      <c r="A85" s="4" t="s">
        <v>137</v>
      </c>
      <c r="B85" s="4"/>
      <c r="C85" s="4" t="s">
        <v>514</v>
      </c>
      <c r="D85" s="4"/>
      <c r="E85" s="4"/>
      <c r="F85" s="4"/>
      <c r="G85" s="4"/>
      <c r="H85" s="4"/>
      <c r="I85" s="4"/>
      <c r="J85" s="4"/>
      <c r="K85" s="4"/>
      <c r="L85" s="4" t="s">
        <v>584</v>
      </c>
      <c r="M85" s="4"/>
      <c r="N85" s="4"/>
    </row>
    <row r="86" spans="1:14" ht="30" customHeight="1" x14ac:dyDescent="0.15">
      <c r="A86" s="4" t="s">
        <v>138</v>
      </c>
      <c r="B86" s="4"/>
      <c r="C86" s="4"/>
      <c r="D86" s="4"/>
      <c r="E86" s="4" t="s">
        <v>306</v>
      </c>
      <c r="F86" s="4" t="s">
        <v>328</v>
      </c>
      <c r="G86" s="4"/>
      <c r="H86" s="4"/>
      <c r="I86" s="4"/>
      <c r="J86" s="4" t="s">
        <v>477</v>
      </c>
      <c r="K86" s="4"/>
      <c r="L86" s="4" t="s">
        <v>585</v>
      </c>
      <c r="M86" s="4" t="s">
        <v>370</v>
      </c>
      <c r="N86" s="4"/>
    </row>
    <row r="87" spans="1:14" ht="30" customHeight="1" x14ac:dyDescent="0.15">
      <c r="A87" s="4" t="s">
        <v>139</v>
      </c>
      <c r="B87" s="4"/>
      <c r="C87" s="4" t="s">
        <v>510</v>
      </c>
      <c r="D87" s="4"/>
      <c r="E87" s="4" t="s">
        <v>313</v>
      </c>
      <c r="F87" s="4" t="s">
        <v>334</v>
      </c>
      <c r="G87" s="4"/>
      <c r="H87" s="4"/>
      <c r="I87" s="4"/>
      <c r="J87" s="4" t="s">
        <v>480</v>
      </c>
      <c r="K87" s="4"/>
      <c r="L87" s="4" t="s">
        <v>586</v>
      </c>
      <c r="M87" s="4" t="s">
        <v>377</v>
      </c>
      <c r="N87" s="4"/>
    </row>
    <row r="88" spans="1:14" ht="30" customHeight="1" x14ac:dyDescent="0.15">
      <c r="A88" s="4" t="s">
        <v>140</v>
      </c>
      <c r="B88" s="4"/>
      <c r="C88" s="4" t="s">
        <v>587</v>
      </c>
      <c r="D88" s="4" t="s">
        <v>396</v>
      </c>
      <c r="E88" s="4" t="s">
        <v>310</v>
      </c>
      <c r="F88" s="4" t="s">
        <v>340</v>
      </c>
      <c r="G88" s="4"/>
      <c r="H88" s="4"/>
      <c r="I88" s="4"/>
      <c r="J88" s="4"/>
      <c r="K88" s="4"/>
      <c r="L88" s="4" t="s">
        <v>588</v>
      </c>
      <c r="M88" s="4" t="s">
        <v>384</v>
      </c>
      <c r="N88" s="4"/>
    </row>
    <row r="89" spans="1:14" ht="30" customHeight="1" x14ac:dyDescent="0.15">
      <c r="A89" s="4" t="s">
        <v>141</v>
      </c>
      <c r="B89" s="4"/>
      <c r="C89" s="4" t="s">
        <v>589</v>
      </c>
      <c r="D89" s="4" t="s">
        <v>388</v>
      </c>
      <c r="E89" s="4" t="s">
        <v>322</v>
      </c>
      <c r="F89" s="4" t="s">
        <v>344</v>
      </c>
      <c r="G89" s="4"/>
      <c r="H89" s="4" t="s">
        <v>426</v>
      </c>
      <c r="I89" s="4"/>
      <c r="J89" s="4"/>
      <c r="K89" s="4"/>
      <c r="L89" s="4" t="s">
        <v>590</v>
      </c>
      <c r="M89" s="4" t="s">
        <v>392</v>
      </c>
      <c r="N89" s="4"/>
    </row>
    <row r="90" spans="1:14" ht="30" customHeight="1" x14ac:dyDescent="0.15">
      <c r="A90" s="4" t="s">
        <v>142</v>
      </c>
      <c r="B90" s="4"/>
      <c r="C90" s="4" t="s">
        <v>591</v>
      </c>
      <c r="D90" s="4" t="s">
        <v>404</v>
      </c>
      <c r="E90" s="4"/>
      <c r="F90" s="4"/>
      <c r="G90" s="4"/>
      <c r="H90" s="4" t="s">
        <v>412</v>
      </c>
      <c r="I90" s="4"/>
      <c r="J90" s="4"/>
      <c r="K90" s="4"/>
      <c r="L90" s="4" t="s">
        <v>592</v>
      </c>
      <c r="M90" s="4"/>
      <c r="N90" s="4"/>
    </row>
    <row r="91" spans="1:14" ht="30" customHeight="1" x14ac:dyDescent="0.15">
      <c r="A91" s="4" t="s">
        <v>143</v>
      </c>
      <c r="B91" s="4"/>
      <c r="C91" s="4" t="s">
        <v>593</v>
      </c>
      <c r="D91" s="4" t="s">
        <v>412</v>
      </c>
      <c r="E91" s="4"/>
      <c r="F91" s="4" t="s">
        <v>330</v>
      </c>
      <c r="G91" s="4"/>
      <c r="H91" s="4" t="s">
        <v>396</v>
      </c>
      <c r="I91" s="4"/>
      <c r="J91" s="4"/>
      <c r="K91" s="4"/>
      <c r="L91" s="4" t="s">
        <v>594</v>
      </c>
      <c r="M91" s="4"/>
      <c r="N91" s="4"/>
    </row>
    <row r="92" spans="1:14" ht="30" customHeight="1" x14ac:dyDescent="0.15">
      <c r="A92" s="4" t="s">
        <v>144</v>
      </c>
      <c r="B92" s="4"/>
      <c r="C92" s="4" t="s">
        <v>595</v>
      </c>
      <c r="D92" s="4" t="s">
        <v>419</v>
      </c>
      <c r="E92" s="4"/>
      <c r="F92" s="4" t="s">
        <v>336</v>
      </c>
      <c r="G92" s="4"/>
      <c r="H92" s="4" t="s">
        <v>388</v>
      </c>
      <c r="I92" s="4"/>
      <c r="J92" s="4"/>
      <c r="K92" s="4"/>
      <c r="L92" s="4" t="s">
        <v>596</v>
      </c>
      <c r="M92" s="4"/>
      <c r="N92" s="4"/>
    </row>
    <row r="93" spans="1:14" ht="30" customHeight="1" x14ac:dyDescent="0.15">
      <c r="A93" s="4" t="s">
        <v>145</v>
      </c>
      <c r="B93" s="4"/>
      <c r="C93" s="4" t="s">
        <v>597</v>
      </c>
      <c r="D93" s="4" t="s">
        <v>426</v>
      </c>
      <c r="E93" s="4"/>
      <c r="F93" s="4" t="s">
        <v>256</v>
      </c>
      <c r="G93" s="4"/>
      <c r="H93" s="4" t="s">
        <v>419</v>
      </c>
      <c r="I93" s="4" t="s">
        <v>403</v>
      </c>
      <c r="J93" s="4" t="s">
        <v>350</v>
      </c>
      <c r="K93" s="4" t="s">
        <v>382</v>
      </c>
      <c r="L93" s="4" t="s">
        <v>454</v>
      </c>
      <c r="M93" s="4" t="s">
        <v>447</v>
      </c>
      <c r="N93" s="4"/>
    </row>
    <row r="94" spans="1:14" ht="30" customHeight="1" x14ac:dyDescent="0.15">
      <c r="A94" s="4" t="s">
        <v>146</v>
      </c>
      <c r="B94" s="4"/>
      <c r="C94" s="4" t="s">
        <v>598</v>
      </c>
      <c r="D94" s="4" t="s">
        <v>380</v>
      </c>
      <c r="E94" s="4"/>
      <c r="F94" s="4" t="s">
        <v>262</v>
      </c>
      <c r="G94" s="4"/>
      <c r="H94" s="4" t="s">
        <v>404</v>
      </c>
      <c r="I94" s="4" t="s">
        <v>411</v>
      </c>
      <c r="J94" s="4" t="s">
        <v>356</v>
      </c>
      <c r="K94" s="4" t="s">
        <v>390</v>
      </c>
      <c r="L94" s="4" t="s">
        <v>457</v>
      </c>
      <c r="M94" s="4" t="s">
        <v>452</v>
      </c>
      <c r="N94" s="4"/>
    </row>
    <row r="95" spans="1:14" ht="30" customHeight="1" x14ac:dyDescent="0.15">
      <c r="A95" s="4" t="s">
        <v>147</v>
      </c>
      <c r="B95" s="4"/>
      <c r="C95" s="4"/>
      <c r="D95" s="4" t="s">
        <v>373</v>
      </c>
      <c r="E95" s="4"/>
      <c r="F95" s="4" t="s">
        <v>491</v>
      </c>
      <c r="G95" s="4"/>
      <c r="H95" s="4"/>
      <c r="I95" s="4" t="s">
        <v>418</v>
      </c>
      <c r="J95" s="4" t="s">
        <v>362</v>
      </c>
      <c r="K95" s="4" t="s">
        <v>398</v>
      </c>
      <c r="L95" s="4" t="s">
        <v>459</v>
      </c>
      <c r="M95" s="4" t="s">
        <v>456</v>
      </c>
      <c r="N95" s="4"/>
    </row>
    <row r="96" spans="1:14" ht="30" customHeight="1" x14ac:dyDescent="0.15">
      <c r="A96" s="4" t="s">
        <v>148</v>
      </c>
      <c r="B96" s="4"/>
      <c r="C96" s="4"/>
      <c r="D96" s="4"/>
      <c r="E96" s="4"/>
      <c r="F96" s="4" t="s">
        <v>488</v>
      </c>
      <c r="G96" s="4"/>
      <c r="H96" s="4" t="s">
        <v>380</v>
      </c>
      <c r="I96" s="4" t="s">
        <v>425</v>
      </c>
      <c r="J96" s="4" t="s">
        <v>368</v>
      </c>
      <c r="K96" s="4" t="s">
        <v>407</v>
      </c>
      <c r="L96" s="4" t="s">
        <v>461</v>
      </c>
      <c r="M96" s="4" t="s">
        <v>458</v>
      </c>
      <c r="N96" s="4"/>
    </row>
    <row r="97" spans="1:14" ht="30" customHeight="1" x14ac:dyDescent="0.15">
      <c r="A97" s="4" t="s">
        <v>149</v>
      </c>
      <c r="B97" s="4"/>
      <c r="C97" s="4"/>
      <c r="D97" s="4" t="s">
        <v>599</v>
      </c>
      <c r="E97" s="4"/>
      <c r="F97" s="4"/>
      <c r="G97" s="4"/>
      <c r="H97" s="4"/>
      <c r="I97" s="4"/>
      <c r="J97" s="4"/>
      <c r="K97" s="4" t="s">
        <v>415</v>
      </c>
      <c r="L97" s="4" t="s">
        <v>465</v>
      </c>
      <c r="M97" s="4"/>
      <c r="N97" s="4"/>
    </row>
    <row r="98" spans="1:14" ht="30" customHeight="1" x14ac:dyDescent="0.15">
      <c r="A98" s="4" t="s">
        <v>150</v>
      </c>
      <c r="B98" s="4"/>
      <c r="C98" s="4"/>
      <c r="D98" s="4" t="s">
        <v>600</v>
      </c>
      <c r="E98" s="4" t="s">
        <v>318</v>
      </c>
      <c r="F98" s="4"/>
      <c r="G98" s="4"/>
      <c r="H98" s="4"/>
      <c r="I98" s="4"/>
      <c r="J98" s="4"/>
      <c r="K98" s="4" t="s">
        <v>422</v>
      </c>
      <c r="L98" s="4" t="s">
        <v>467</v>
      </c>
      <c r="M98" s="4"/>
      <c r="N98" s="4"/>
    </row>
    <row r="99" spans="1:14" ht="30" customHeight="1" x14ac:dyDescent="0.15">
      <c r="A99" s="4" t="s">
        <v>151</v>
      </c>
      <c r="B99" s="4"/>
      <c r="C99" s="4"/>
      <c r="D99" s="4" t="s">
        <v>601</v>
      </c>
      <c r="E99" s="4" t="s">
        <v>324</v>
      </c>
      <c r="F99" s="4"/>
      <c r="G99" s="4"/>
      <c r="H99" s="4"/>
      <c r="I99" s="4"/>
      <c r="J99" s="4"/>
      <c r="K99" s="4" t="s">
        <v>429</v>
      </c>
      <c r="L99" s="4" t="s">
        <v>469</v>
      </c>
      <c r="M99" s="4"/>
      <c r="N99" s="4"/>
    </row>
    <row r="100" spans="1:14" ht="30" customHeight="1" x14ac:dyDescent="0.15">
      <c r="A100" s="4" t="s">
        <v>152</v>
      </c>
      <c r="B100" s="4"/>
      <c r="C100" s="4"/>
      <c r="D100" s="4" t="s">
        <v>602</v>
      </c>
      <c r="E100" s="4" t="s">
        <v>329</v>
      </c>
      <c r="F100" s="4"/>
      <c r="G100" s="4"/>
      <c r="H100" s="4"/>
      <c r="I100" s="4"/>
      <c r="J100" s="4"/>
      <c r="K100" s="4" t="s">
        <v>433</v>
      </c>
      <c r="L100" s="4" t="s">
        <v>472</v>
      </c>
      <c r="M100" s="4"/>
      <c r="N100" s="4"/>
    </row>
    <row r="101" spans="1:14" ht="30" customHeight="1" x14ac:dyDescent="0.15">
      <c r="A101" s="4" t="s">
        <v>153</v>
      </c>
      <c r="B101" s="4"/>
      <c r="C101" s="4"/>
      <c r="D101" s="4" t="s">
        <v>603</v>
      </c>
      <c r="E101" s="4" t="s">
        <v>335</v>
      </c>
      <c r="F101" s="4"/>
      <c r="G101" s="4"/>
      <c r="H101" s="4"/>
      <c r="I101" s="4"/>
      <c r="J101" s="4"/>
      <c r="K101" s="4" t="s">
        <v>440</v>
      </c>
      <c r="L101" s="4"/>
      <c r="M101" s="4"/>
      <c r="N101" s="4"/>
    </row>
    <row r="102" spans="1:14" ht="30" customHeight="1" x14ac:dyDescent="0.15">
      <c r="A102" s="4" t="s">
        <v>154</v>
      </c>
      <c r="B102" s="4"/>
      <c r="C102" s="4"/>
      <c r="D102" s="4" t="s">
        <v>604</v>
      </c>
      <c r="E102" s="4" t="s">
        <v>400</v>
      </c>
      <c r="F102" s="4" t="s">
        <v>376</v>
      </c>
      <c r="G102" s="4"/>
      <c r="H102" s="4"/>
      <c r="I102" s="4" t="s">
        <v>258</v>
      </c>
      <c r="J102" s="4"/>
      <c r="K102" s="4" t="s">
        <v>259</v>
      </c>
      <c r="L102" s="4"/>
      <c r="M102" s="4"/>
      <c r="N102" s="4"/>
    </row>
    <row r="103" spans="1:14" ht="30" customHeight="1" x14ac:dyDescent="0.15">
      <c r="A103" s="4" t="s">
        <v>155</v>
      </c>
      <c r="B103" s="4"/>
      <c r="C103" s="4"/>
      <c r="D103" s="4" t="s">
        <v>605</v>
      </c>
      <c r="E103" s="4" t="s">
        <v>408</v>
      </c>
      <c r="F103" s="4" t="s">
        <v>383</v>
      </c>
      <c r="G103" s="4"/>
      <c r="H103" s="4"/>
      <c r="I103" s="4" t="s">
        <v>264</v>
      </c>
      <c r="J103" s="4"/>
      <c r="K103" s="4" t="s">
        <v>265</v>
      </c>
      <c r="L103" s="4"/>
      <c r="M103" s="4"/>
      <c r="N103" s="4"/>
    </row>
    <row r="104" spans="1:14" ht="30" customHeight="1" x14ac:dyDescent="0.15">
      <c r="A104" s="4" t="s">
        <v>156</v>
      </c>
      <c r="B104" s="4"/>
      <c r="C104" s="4"/>
      <c r="D104" s="4" t="s">
        <v>606</v>
      </c>
      <c r="E104" s="4" t="s">
        <v>423</v>
      </c>
      <c r="F104" s="4" t="s">
        <v>391</v>
      </c>
      <c r="G104" s="4"/>
      <c r="H104" s="4"/>
      <c r="I104" s="4" t="s">
        <v>269</v>
      </c>
      <c r="J104" s="4"/>
      <c r="K104" s="4" t="s">
        <v>270</v>
      </c>
      <c r="L104" s="4"/>
      <c r="M104" s="4"/>
      <c r="N104" s="4"/>
    </row>
    <row r="105" spans="1:14" ht="30" customHeight="1" x14ac:dyDescent="0.15">
      <c r="A105" s="4" t="s">
        <v>157</v>
      </c>
      <c r="B105" s="4"/>
      <c r="C105" s="4"/>
      <c r="D105" s="4" t="s">
        <v>607</v>
      </c>
      <c r="E105" s="4" t="s">
        <v>416</v>
      </c>
      <c r="F105" s="4" t="s">
        <v>399</v>
      </c>
      <c r="G105" s="4"/>
      <c r="H105" s="4"/>
      <c r="I105" s="4" t="s">
        <v>275</v>
      </c>
      <c r="J105" s="4"/>
      <c r="K105" s="4" t="s">
        <v>276</v>
      </c>
      <c r="L105" s="4"/>
      <c r="M105" s="4"/>
      <c r="N105" s="4"/>
    </row>
    <row r="106" spans="1:14" ht="30" customHeight="1" x14ac:dyDescent="0.15">
      <c r="A106" s="4" t="s">
        <v>158</v>
      </c>
      <c r="B106" s="4" t="s">
        <v>256</v>
      </c>
      <c r="C106" s="4"/>
      <c r="D106" s="4" t="s">
        <v>608</v>
      </c>
      <c r="E106" s="4" t="s">
        <v>292</v>
      </c>
      <c r="F106" s="4" t="s">
        <v>491</v>
      </c>
      <c r="G106" s="4"/>
      <c r="H106" s="4"/>
      <c r="I106" s="4" t="s">
        <v>281</v>
      </c>
      <c r="J106" s="4" t="s">
        <v>257</v>
      </c>
      <c r="K106" s="4" t="s">
        <v>282</v>
      </c>
      <c r="L106" s="4"/>
      <c r="M106" s="4"/>
      <c r="N106" s="4"/>
    </row>
    <row r="107" spans="1:14" ht="30" customHeight="1" x14ac:dyDescent="0.15">
      <c r="A107" s="4" t="s">
        <v>159</v>
      </c>
      <c r="B107" s="4" t="s">
        <v>262</v>
      </c>
      <c r="C107" s="4"/>
      <c r="D107" s="4" t="s">
        <v>609</v>
      </c>
      <c r="E107" s="4" t="s">
        <v>299</v>
      </c>
      <c r="F107" s="4" t="s">
        <v>488</v>
      </c>
      <c r="G107" s="4"/>
      <c r="H107" s="4"/>
      <c r="I107" s="4" t="s">
        <v>287</v>
      </c>
      <c r="J107" s="4" t="s">
        <v>263</v>
      </c>
      <c r="K107" s="4" t="s">
        <v>288</v>
      </c>
      <c r="L107" s="4" t="s">
        <v>476</v>
      </c>
      <c r="M107" s="4"/>
      <c r="N107" s="4"/>
    </row>
    <row r="108" spans="1:14" ht="30" customHeight="1" x14ac:dyDescent="0.15">
      <c r="A108" s="4" t="s">
        <v>160</v>
      </c>
      <c r="B108" s="4"/>
      <c r="C108" s="4"/>
      <c r="D108" s="4" t="s">
        <v>610</v>
      </c>
      <c r="E108" s="4" t="s">
        <v>305</v>
      </c>
      <c r="F108" s="4" t="s">
        <v>330</v>
      </c>
      <c r="G108" s="4"/>
      <c r="H108" s="4"/>
      <c r="I108" s="4" t="s">
        <v>294</v>
      </c>
      <c r="J108" s="4"/>
      <c r="K108" s="4" t="s">
        <v>295</v>
      </c>
      <c r="L108" s="4" t="s">
        <v>479</v>
      </c>
      <c r="M108" s="4"/>
      <c r="N108" s="4"/>
    </row>
    <row r="109" spans="1:14" ht="30" customHeight="1" x14ac:dyDescent="0.15">
      <c r="A109" s="4" t="s">
        <v>161</v>
      </c>
      <c r="B109" s="4"/>
      <c r="C109" s="4"/>
      <c r="D109" s="4" t="s">
        <v>611</v>
      </c>
      <c r="E109" s="4" t="s">
        <v>312</v>
      </c>
      <c r="F109" s="4" t="s">
        <v>336</v>
      </c>
      <c r="G109" s="4"/>
      <c r="H109" s="4"/>
      <c r="I109" s="4" t="s">
        <v>301</v>
      </c>
      <c r="J109" s="4"/>
      <c r="K109" s="4" t="s">
        <v>302</v>
      </c>
      <c r="L109" s="4" t="s">
        <v>475</v>
      </c>
      <c r="M109" s="4"/>
      <c r="N109" s="4"/>
    </row>
    <row r="110" spans="1:14" ht="30" customHeight="1" x14ac:dyDescent="0.15">
      <c r="A110" s="4" t="s">
        <v>162</v>
      </c>
      <c r="B110" s="4"/>
      <c r="C110" s="4"/>
      <c r="D110" s="4" t="s">
        <v>612</v>
      </c>
      <c r="E110" s="4"/>
      <c r="F110" s="4"/>
      <c r="G110" s="4"/>
      <c r="H110" s="4"/>
      <c r="I110" s="4" t="s">
        <v>613</v>
      </c>
      <c r="J110" s="4"/>
      <c r="K110" s="4" t="s">
        <v>308</v>
      </c>
      <c r="L110" s="4" t="s">
        <v>558</v>
      </c>
      <c r="M110" s="4"/>
      <c r="N110" s="4"/>
    </row>
    <row r="111" spans="1:14" ht="30" customHeight="1" x14ac:dyDescent="0.15">
      <c r="A111" s="4" t="s">
        <v>163</v>
      </c>
      <c r="B111" s="4"/>
      <c r="C111" s="4"/>
      <c r="D111" s="4" t="s">
        <v>614</v>
      </c>
      <c r="E111" s="4"/>
      <c r="F111" s="4"/>
      <c r="G111" s="4"/>
      <c r="H111" s="4"/>
      <c r="I111" s="4" t="s">
        <v>615</v>
      </c>
      <c r="J111" s="4"/>
      <c r="K111" s="4"/>
      <c r="L111" s="4" t="s">
        <v>460</v>
      </c>
      <c r="M111" s="4"/>
      <c r="N111" s="4"/>
    </row>
    <row r="112" spans="1:14" ht="30" customHeight="1" x14ac:dyDescent="0.15">
      <c r="A112" s="4" t="s">
        <v>164</v>
      </c>
      <c r="B112" s="4"/>
      <c r="C112" s="4"/>
      <c r="D112" s="4" t="s">
        <v>616</v>
      </c>
      <c r="E112" s="4"/>
      <c r="F112" s="4"/>
      <c r="G112" s="4"/>
      <c r="H112" s="4"/>
      <c r="I112" s="4" t="s">
        <v>617</v>
      </c>
      <c r="J112" s="4"/>
      <c r="K112" s="4" t="s">
        <v>315</v>
      </c>
      <c r="L112" s="4" t="s">
        <v>463</v>
      </c>
      <c r="M112" s="4"/>
      <c r="N112" s="4"/>
    </row>
    <row r="113" spans="1:14" ht="30" customHeight="1" x14ac:dyDescent="0.15">
      <c r="A113" s="4" t="s">
        <v>165</v>
      </c>
      <c r="B113" s="4"/>
      <c r="C113" s="4"/>
      <c r="D113" s="4" t="s">
        <v>618</v>
      </c>
      <c r="E113" s="4"/>
      <c r="F113" s="4"/>
      <c r="G113" s="4"/>
      <c r="H113" s="4"/>
      <c r="I113" s="4" t="s">
        <v>619</v>
      </c>
      <c r="J113" s="4"/>
      <c r="K113" s="4" t="s">
        <v>320</v>
      </c>
      <c r="L113" s="4" t="s">
        <v>497</v>
      </c>
      <c r="M113" s="4"/>
      <c r="N113" s="4"/>
    </row>
    <row r="114" spans="1:14" ht="30" customHeight="1" x14ac:dyDescent="0.15">
      <c r="A114" s="4" t="s">
        <v>166</v>
      </c>
      <c r="B114" s="4"/>
      <c r="C114" s="4"/>
      <c r="D114" s="4" t="s">
        <v>620</v>
      </c>
      <c r="E114" s="4"/>
      <c r="F114" s="4"/>
      <c r="G114" s="4"/>
      <c r="H114" s="4"/>
      <c r="I114" s="4" t="s">
        <v>621</v>
      </c>
      <c r="J114" s="4"/>
      <c r="K114" s="4" t="s">
        <v>326</v>
      </c>
      <c r="L114" s="4" t="s">
        <v>471</v>
      </c>
      <c r="M114" s="4"/>
      <c r="N114" s="4"/>
    </row>
    <row r="115" spans="1:14" ht="30" customHeight="1" x14ac:dyDescent="0.15">
      <c r="A115" s="4" t="s">
        <v>167</v>
      </c>
      <c r="B115" s="4"/>
      <c r="C115" s="4"/>
      <c r="D115" s="4" t="s">
        <v>622</v>
      </c>
      <c r="E115" s="4"/>
      <c r="F115" s="4"/>
      <c r="G115" s="4"/>
      <c r="H115" s="4"/>
      <c r="I115" s="4" t="s">
        <v>623</v>
      </c>
      <c r="J115" s="4"/>
      <c r="K115" s="4"/>
      <c r="L115" s="4" t="s">
        <v>474</v>
      </c>
      <c r="M115" s="4"/>
      <c r="N115" s="4"/>
    </row>
    <row r="116" spans="1:14" ht="30" customHeight="1" x14ac:dyDescent="0.15">
      <c r="A116" s="4" t="s">
        <v>168</v>
      </c>
      <c r="B116" s="4"/>
      <c r="C116" s="4"/>
      <c r="D116" s="4" t="s">
        <v>624</v>
      </c>
      <c r="E116" s="4"/>
      <c r="F116" s="4"/>
      <c r="G116" s="4"/>
      <c r="H116" s="4"/>
      <c r="I116" s="4" t="s">
        <v>625</v>
      </c>
      <c r="J116" s="4"/>
      <c r="K116" s="4"/>
      <c r="L116" s="4" t="s">
        <v>501</v>
      </c>
      <c r="M116" s="4"/>
      <c r="N116" s="4"/>
    </row>
    <row r="117" spans="1:14" ht="30" customHeight="1" x14ac:dyDescent="0.15">
      <c r="A117" s="4" t="s">
        <v>169</v>
      </c>
      <c r="B117" s="4"/>
      <c r="C117" s="4"/>
      <c r="D117" s="4" t="s">
        <v>626</v>
      </c>
      <c r="E117" s="4" t="s">
        <v>298</v>
      </c>
      <c r="F117" s="4"/>
      <c r="G117" s="4"/>
      <c r="H117" s="4"/>
      <c r="I117" s="4" t="s">
        <v>627</v>
      </c>
      <c r="J117" s="4"/>
      <c r="K117" s="4" t="s">
        <v>332</v>
      </c>
      <c r="L117" s="4" t="s">
        <v>504</v>
      </c>
      <c r="M117" s="4"/>
      <c r="N117" s="4"/>
    </row>
    <row r="118" spans="1:14" ht="30" customHeight="1" x14ac:dyDescent="0.15">
      <c r="A118" s="4" t="s">
        <v>170</v>
      </c>
      <c r="B118" s="4"/>
      <c r="C118" s="4"/>
      <c r="D118" s="4" t="s">
        <v>628</v>
      </c>
      <c r="E118" s="4" t="s">
        <v>311</v>
      </c>
      <c r="F118" s="4"/>
      <c r="G118" s="4"/>
      <c r="H118" s="4"/>
      <c r="I118" s="4" t="s">
        <v>629</v>
      </c>
      <c r="J118" s="4"/>
      <c r="K118" s="4" t="s">
        <v>338</v>
      </c>
      <c r="L118" s="4" t="s">
        <v>507</v>
      </c>
      <c r="M118" s="4"/>
      <c r="N118" s="4"/>
    </row>
    <row r="119" spans="1:14" ht="30" customHeight="1" x14ac:dyDescent="0.15">
      <c r="A119" s="4" t="s">
        <v>171</v>
      </c>
      <c r="B119" s="4"/>
      <c r="C119" s="4"/>
      <c r="D119" s="4" t="s">
        <v>630</v>
      </c>
      <c r="E119" s="4"/>
      <c r="F119" s="4"/>
      <c r="G119" s="4"/>
      <c r="H119" s="4"/>
      <c r="I119" s="4" t="s">
        <v>631</v>
      </c>
      <c r="J119" s="4"/>
      <c r="K119" s="4" t="s">
        <v>342</v>
      </c>
      <c r="L119" s="4" t="s">
        <v>511</v>
      </c>
      <c r="M119" s="4"/>
      <c r="N119" s="4"/>
    </row>
    <row r="120" spans="1:14" ht="30" customHeight="1" x14ac:dyDescent="0.15">
      <c r="A120" s="4" t="s">
        <v>172</v>
      </c>
      <c r="B120" s="4"/>
      <c r="C120" s="4"/>
      <c r="D120" s="4" t="s">
        <v>632</v>
      </c>
      <c r="E120" s="4"/>
      <c r="F120" s="4"/>
      <c r="G120" s="4"/>
      <c r="H120" s="4"/>
      <c r="I120" s="4" t="s">
        <v>633</v>
      </c>
      <c r="J120" s="4"/>
      <c r="K120" s="4" t="s">
        <v>346</v>
      </c>
      <c r="L120" s="4" t="s">
        <v>485</v>
      </c>
      <c r="M120" s="4"/>
      <c r="N120" s="4"/>
    </row>
    <row r="121" spans="1:14" ht="30" customHeight="1" x14ac:dyDescent="0.15">
      <c r="A121" s="4" t="s">
        <v>173</v>
      </c>
      <c r="B121" s="4"/>
      <c r="C121" s="4"/>
      <c r="D121" s="4" t="s">
        <v>634</v>
      </c>
      <c r="E121" s="4"/>
      <c r="F121" s="4"/>
      <c r="G121" s="4"/>
      <c r="H121" s="4"/>
      <c r="I121" s="4" t="s">
        <v>635</v>
      </c>
      <c r="J121" s="4"/>
      <c r="K121" s="4" t="s">
        <v>351</v>
      </c>
      <c r="L121" s="4" t="s">
        <v>489</v>
      </c>
      <c r="M121" s="4"/>
      <c r="N121" s="4"/>
    </row>
    <row r="122" spans="1:14" ht="30" customHeight="1" x14ac:dyDescent="0.15">
      <c r="A122" s="4" t="s">
        <v>174</v>
      </c>
      <c r="B122" s="4"/>
      <c r="C122" s="4"/>
      <c r="D122" s="4" t="s">
        <v>636</v>
      </c>
      <c r="E122" s="4"/>
      <c r="F122" s="4"/>
      <c r="G122" s="4"/>
      <c r="H122" s="4"/>
      <c r="I122" s="4" t="s">
        <v>637</v>
      </c>
      <c r="J122" s="4"/>
      <c r="K122" s="4" t="s">
        <v>357</v>
      </c>
      <c r="L122" s="4" t="s">
        <v>482</v>
      </c>
      <c r="M122" s="4"/>
      <c r="N122" s="4"/>
    </row>
    <row r="123" spans="1:14" ht="30" customHeight="1" x14ac:dyDescent="0.15">
      <c r="A123" s="4" t="s">
        <v>175</v>
      </c>
      <c r="B123" s="4"/>
      <c r="C123" s="4"/>
      <c r="D123" s="4" t="s">
        <v>638</v>
      </c>
      <c r="E123" s="4"/>
      <c r="F123" s="4"/>
      <c r="G123" s="4"/>
      <c r="H123" s="4"/>
      <c r="I123" s="4" t="s">
        <v>639</v>
      </c>
      <c r="J123" s="4"/>
      <c r="K123" s="4" t="s">
        <v>363</v>
      </c>
      <c r="L123" s="4" t="s">
        <v>526</v>
      </c>
      <c r="M123" s="4"/>
      <c r="N123" s="4"/>
    </row>
    <row r="124" spans="1:14" ht="30" customHeight="1" x14ac:dyDescent="0.15">
      <c r="A124" s="4" t="s">
        <v>176</v>
      </c>
      <c r="B124" s="4"/>
      <c r="C124" s="4"/>
      <c r="D124" s="4" t="s">
        <v>503</v>
      </c>
      <c r="E124" s="4"/>
      <c r="F124" s="4" t="s">
        <v>376</v>
      </c>
      <c r="G124" s="4" t="s">
        <v>349</v>
      </c>
      <c r="H124" s="4"/>
      <c r="I124" s="4" t="s">
        <v>640</v>
      </c>
      <c r="J124" s="4"/>
      <c r="K124" s="4"/>
      <c r="L124" s="4" t="s">
        <v>531</v>
      </c>
      <c r="M124" s="4"/>
      <c r="N124" s="4"/>
    </row>
    <row r="125" spans="1:14" ht="30" customHeight="1" x14ac:dyDescent="0.15">
      <c r="A125" s="4" t="s">
        <v>177</v>
      </c>
      <c r="B125" s="4"/>
      <c r="C125" s="4"/>
      <c r="D125" s="4" t="s">
        <v>506</v>
      </c>
      <c r="E125" s="4"/>
      <c r="F125" s="4" t="s">
        <v>383</v>
      </c>
      <c r="G125" s="4" t="s">
        <v>355</v>
      </c>
      <c r="H125" s="4"/>
      <c r="I125" s="4" t="s">
        <v>641</v>
      </c>
      <c r="J125" s="4"/>
      <c r="K125" s="4"/>
      <c r="L125" s="4" t="s">
        <v>536</v>
      </c>
      <c r="M125" s="4"/>
      <c r="N125" s="4"/>
    </row>
    <row r="126" spans="1:14" ht="30" customHeight="1" x14ac:dyDescent="0.15">
      <c r="A126" s="4" t="s">
        <v>178</v>
      </c>
      <c r="B126" s="4"/>
      <c r="C126" s="4"/>
      <c r="D126" s="4" t="s">
        <v>509</v>
      </c>
      <c r="E126" s="4"/>
      <c r="F126" s="4" t="s">
        <v>391</v>
      </c>
      <c r="G126" s="4" t="s">
        <v>360</v>
      </c>
      <c r="H126" s="4"/>
      <c r="I126" s="4" t="s">
        <v>642</v>
      </c>
      <c r="J126" s="4"/>
      <c r="K126" s="4"/>
      <c r="L126" s="4" t="s">
        <v>541</v>
      </c>
      <c r="M126" s="4"/>
      <c r="N126" s="4"/>
    </row>
    <row r="127" spans="1:14" ht="30" customHeight="1" x14ac:dyDescent="0.15">
      <c r="A127" s="4" t="s">
        <v>179</v>
      </c>
      <c r="B127" s="4"/>
      <c r="C127" s="4"/>
      <c r="D127" s="4" t="s">
        <v>513</v>
      </c>
      <c r="E127" s="4"/>
      <c r="F127" s="4" t="s">
        <v>399</v>
      </c>
      <c r="G127" s="4" t="s">
        <v>366</v>
      </c>
      <c r="H127" s="4"/>
      <c r="I127" s="4" t="s">
        <v>643</v>
      </c>
      <c r="J127" s="4"/>
      <c r="K127" s="4" t="s">
        <v>369</v>
      </c>
      <c r="L127" s="4" t="s">
        <v>436</v>
      </c>
      <c r="M127" s="4"/>
      <c r="N127" s="4"/>
    </row>
    <row r="128" spans="1:14" ht="30" customHeight="1" x14ac:dyDescent="0.15">
      <c r="A128" s="4" t="s">
        <v>180</v>
      </c>
      <c r="B128" s="4"/>
      <c r="C128" s="4"/>
      <c r="D128" s="4" t="s">
        <v>516</v>
      </c>
      <c r="E128" s="4"/>
      <c r="F128" s="4"/>
      <c r="G128" s="4" t="s">
        <v>372</v>
      </c>
      <c r="H128" s="4"/>
      <c r="I128" s="4" t="s">
        <v>644</v>
      </c>
      <c r="J128" s="4"/>
      <c r="K128" s="4" t="s">
        <v>375</v>
      </c>
      <c r="L128" s="4" t="s">
        <v>443</v>
      </c>
      <c r="M128" s="4"/>
      <c r="N128" s="4"/>
    </row>
    <row r="129" spans="1:14" ht="30" customHeight="1" x14ac:dyDescent="0.15">
      <c r="A129" s="4" t="s">
        <v>181</v>
      </c>
      <c r="B129" s="4"/>
      <c r="C129" s="4"/>
      <c r="D129" s="4" t="s">
        <v>519</v>
      </c>
      <c r="E129" s="4"/>
      <c r="F129" s="4"/>
      <c r="G129" s="4" t="s">
        <v>379</v>
      </c>
      <c r="H129" s="4"/>
      <c r="I129" s="4" t="s">
        <v>645</v>
      </c>
      <c r="J129" s="4"/>
      <c r="K129" s="4"/>
      <c r="L129" s="4" t="s">
        <v>439</v>
      </c>
      <c r="M129" s="4"/>
      <c r="N129" s="4"/>
    </row>
    <row r="130" spans="1:14" ht="30" customHeight="1" x14ac:dyDescent="0.15">
      <c r="A130" s="4" t="s">
        <v>182</v>
      </c>
      <c r="B130" s="4"/>
      <c r="C130" s="4"/>
      <c r="D130" s="4" t="s">
        <v>523</v>
      </c>
      <c r="E130" s="4"/>
      <c r="F130" s="4"/>
      <c r="G130" s="4" t="s">
        <v>387</v>
      </c>
      <c r="H130" s="4"/>
      <c r="I130" s="4" t="s">
        <v>646</v>
      </c>
      <c r="J130" s="4"/>
      <c r="K130" s="4"/>
      <c r="L130" s="4" t="s">
        <v>446</v>
      </c>
      <c r="M130" s="4"/>
      <c r="N130" s="4"/>
    </row>
    <row r="131" spans="1:14" ht="30" customHeight="1" x14ac:dyDescent="0.15">
      <c r="A131" s="4" t="s">
        <v>183</v>
      </c>
      <c r="B131" s="4"/>
      <c r="C131" s="4"/>
      <c r="D131" s="4" t="s">
        <v>528</v>
      </c>
      <c r="E131" s="4"/>
      <c r="F131" s="4"/>
      <c r="G131" s="4" t="s">
        <v>395</v>
      </c>
      <c r="H131" s="4"/>
      <c r="I131" s="4" t="s">
        <v>647</v>
      </c>
      <c r="J131" s="4"/>
      <c r="K131" s="4"/>
      <c r="L131" s="4" t="s">
        <v>486</v>
      </c>
      <c r="M131" s="4"/>
      <c r="N131" s="4"/>
    </row>
    <row r="132" spans="1:14" ht="30" customHeight="1" x14ac:dyDescent="0.15">
      <c r="A132" s="4" t="s">
        <v>184</v>
      </c>
      <c r="B132" s="4"/>
      <c r="C132" s="4"/>
      <c r="D132" s="4" t="s">
        <v>533</v>
      </c>
      <c r="E132" s="4"/>
      <c r="F132" s="4"/>
      <c r="G132" s="4" t="s">
        <v>402</v>
      </c>
      <c r="H132" s="4"/>
      <c r="I132" s="4" t="s">
        <v>648</v>
      </c>
      <c r="J132" s="4"/>
      <c r="K132" s="4"/>
      <c r="L132" s="4" t="s">
        <v>483</v>
      </c>
      <c r="M132" s="4"/>
      <c r="N132" s="4"/>
    </row>
    <row r="133" spans="1:14" ht="30" customHeight="1" x14ac:dyDescent="0.15">
      <c r="A133" s="4" t="s">
        <v>185</v>
      </c>
      <c r="B133" s="4"/>
      <c r="C133" s="4"/>
      <c r="D133" s="4" t="s">
        <v>538</v>
      </c>
      <c r="E133" s="4"/>
      <c r="F133" s="4"/>
      <c r="G133" s="4" t="s">
        <v>410</v>
      </c>
      <c r="H133" s="4"/>
      <c r="I133" s="4" t="s">
        <v>649</v>
      </c>
      <c r="J133" s="4"/>
      <c r="K133" s="4"/>
      <c r="L133" s="4" t="s">
        <v>575</v>
      </c>
      <c r="M133" s="4"/>
      <c r="N133" s="4"/>
    </row>
    <row r="134" spans="1:14" ht="30" customHeight="1" x14ac:dyDescent="0.15">
      <c r="A134" s="4" t="s">
        <v>186</v>
      </c>
      <c r="B134" s="4"/>
      <c r="C134" s="4"/>
      <c r="D134" s="4" t="s">
        <v>543</v>
      </c>
      <c r="E134" s="4"/>
      <c r="F134" s="4"/>
      <c r="G134" s="4" t="s">
        <v>417</v>
      </c>
      <c r="H134" s="4"/>
      <c r="I134" s="4" t="s">
        <v>307</v>
      </c>
      <c r="J134" s="4"/>
      <c r="K134" s="4"/>
      <c r="L134" s="4" t="s">
        <v>573</v>
      </c>
      <c r="M134" s="4"/>
      <c r="N134" s="4"/>
    </row>
    <row r="135" spans="1:14" ht="30" customHeight="1" x14ac:dyDescent="0.15">
      <c r="A135" s="4" t="s">
        <v>187</v>
      </c>
      <c r="B135" s="4"/>
      <c r="C135" s="4"/>
      <c r="D135" s="4"/>
      <c r="E135" s="4"/>
      <c r="F135" s="4"/>
      <c r="G135" s="4" t="s">
        <v>424</v>
      </c>
      <c r="H135" s="4"/>
      <c r="I135" s="4"/>
      <c r="J135" s="4"/>
      <c r="K135" s="4"/>
      <c r="L135" s="4"/>
      <c r="M135" s="4"/>
      <c r="N135" s="4" t="s">
        <v>650</v>
      </c>
    </row>
    <row r="136" spans="1:14" ht="30" customHeight="1" x14ac:dyDescent="0.15">
      <c r="A136" s="4" t="s">
        <v>188</v>
      </c>
      <c r="B136" s="4"/>
      <c r="C136" s="4"/>
      <c r="D136" s="4" t="s">
        <v>546</v>
      </c>
      <c r="E136" s="4"/>
      <c r="F136" s="4"/>
      <c r="G136" s="4" t="s">
        <v>431</v>
      </c>
      <c r="H136" s="4"/>
      <c r="I136" s="4" t="s">
        <v>314</v>
      </c>
      <c r="J136" s="4"/>
      <c r="K136" s="4"/>
      <c r="L136" s="4" t="s">
        <v>571</v>
      </c>
      <c r="M136" s="4"/>
      <c r="N136" s="4"/>
    </row>
    <row r="137" spans="1:14" ht="30" customHeight="1" x14ac:dyDescent="0.15">
      <c r="A137" s="4" t="s">
        <v>189</v>
      </c>
      <c r="B137" s="4"/>
      <c r="C137" s="4"/>
      <c r="D137" s="4" t="s">
        <v>549</v>
      </c>
      <c r="E137" s="4"/>
      <c r="F137" s="4" t="s">
        <v>306</v>
      </c>
      <c r="G137" s="4" t="s">
        <v>435</v>
      </c>
      <c r="H137" s="4"/>
      <c r="I137" s="4" t="s">
        <v>319</v>
      </c>
      <c r="J137" s="4"/>
      <c r="K137" s="4"/>
      <c r="L137" s="4" t="s">
        <v>567</v>
      </c>
      <c r="M137" s="4"/>
      <c r="N137" s="4"/>
    </row>
    <row r="138" spans="1:14" ht="30" customHeight="1" x14ac:dyDescent="0.15">
      <c r="A138" s="4" t="s">
        <v>190</v>
      </c>
      <c r="B138" s="4"/>
      <c r="C138" s="4"/>
      <c r="D138" s="4" t="s">
        <v>552</v>
      </c>
      <c r="E138" s="4"/>
      <c r="F138" s="4" t="s">
        <v>313</v>
      </c>
      <c r="G138" s="4" t="s">
        <v>442</v>
      </c>
      <c r="H138" s="4"/>
      <c r="I138" s="4" t="s">
        <v>325</v>
      </c>
      <c r="J138" s="4"/>
      <c r="K138" s="4"/>
      <c r="L138" s="4" t="s">
        <v>563</v>
      </c>
      <c r="M138" s="4"/>
      <c r="N138" s="4"/>
    </row>
    <row r="139" spans="1:14" ht="30" customHeight="1" x14ac:dyDescent="0.15">
      <c r="A139" s="4" t="s">
        <v>191</v>
      </c>
      <c r="B139" s="4" t="s">
        <v>406</v>
      </c>
      <c r="C139" s="4"/>
      <c r="D139" s="4" t="s">
        <v>555</v>
      </c>
      <c r="E139" s="4"/>
      <c r="F139" s="4" t="s">
        <v>310</v>
      </c>
      <c r="G139" s="4" t="s">
        <v>449</v>
      </c>
      <c r="H139" s="4"/>
      <c r="I139" s="4" t="s">
        <v>331</v>
      </c>
      <c r="J139" s="4"/>
      <c r="K139" s="4"/>
      <c r="L139" s="4" t="s">
        <v>561</v>
      </c>
      <c r="M139" s="4"/>
      <c r="N139" s="4"/>
    </row>
    <row r="140" spans="1:14" ht="30" customHeight="1" x14ac:dyDescent="0.15">
      <c r="A140" s="4" t="s">
        <v>192</v>
      </c>
      <c r="B140" s="4" t="s">
        <v>414</v>
      </c>
      <c r="C140" s="4"/>
      <c r="D140" s="4" t="s">
        <v>557</v>
      </c>
      <c r="E140" s="4"/>
      <c r="F140" s="4" t="s">
        <v>322</v>
      </c>
      <c r="G140" s="4"/>
      <c r="H140" s="4"/>
      <c r="I140" s="4" t="s">
        <v>337</v>
      </c>
      <c r="J140" s="4"/>
      <c r="K140" s="4"/>
      <c r="L140" s="4" t="s">
        <v>565</v>
      </c>
      <c r="M140" s="4"/>
      <c r="N140" s="4"/>
    </row>
    <row r="141" spans="1:14" ht="30" customHeight="1" x14ac:dyDescent="0.15">
      <c r="A141" s="4" t="s">
        <v>193</v>
      </c>
      <c r="B141" s="4" t="s">
        <v>421</v>
      </c>
      <c r="C141" s="4"/>
      <c r="D141" s="4"/>
      <c r="E141" s="4"/>
      <c r="F141" s="4" t="s">
        <v>336</v>
      </c>
      <c r="G141" s="4"/>
      <c r="H141" s="4"/>
      <c r="I141" s="4" t="s">
        <v>341</v>
      </c>
      <c r="J141" s="4"/>
      <c r="K141" s="4"/>
      <c r="L141" s="4" t="s">
        <v>544</v>
      </c>
      <c r="M141" s="4"/>
      <c r="N141" s="4"/>
    </row>
    <row r="142" spans="1:14" ht="30" customHeight="1" x14ac:dyDescent="0.15">
      <c r="A142" s="4" t="s">
        <v>194</v>
      </c>
      <c r="B142" s="4" t="s">
        <v>428</v>
      </c>
      <c r="C142" s="4"/>
      <c r="D142" s="4"/>
      <c r="E142" s="4"/>
      <c r="F142" s="4" t="s">
        <v>330</v>
      </c>
      <c r="G142" s="4"/>
      <c r="H142" s="4"/>
      <c r="I142" s="4" t="s">
        <v>345</v>
      </c>
      <c r="J142" s="4"/>
      <c r="K142" s="4"/>
      <c r="L142" s="4" t="s">
        <v>547</v>
      </c>
      <c r="M142" s="4"/>
      <c r="N142" s="4"/>
    </row>
    <row r="143" spans="1:14" ht="30" customHeight="1" x14ac:dyDescent="0.15">
      <c r="A143" s="4" t="s">
        <v>195</v>
      </c>
      <c r="B143" s="4" t="s">
        <v>432</v>
      </c>
      <c r="C143" s="4"/>
      <c r="D143" s="4"/>
      <c r="E143" s="4"/>
      <c r="F143" s="4" t="s">
        <v>488</v>
      </c>
      <c r="G143" s="4"/>
      <c r="H143" s="4"/>
      <c r="I143" s="4" t="s">
        <v>651</v>
      </c>
      <c r="J143" s="4"/>
      <c r="K143" s="4"/>
      <c r="L143" s="4" t="s">
        <v>550</v>
      </c>
      <c r="M143" s="4"/>
      <c r="N143" s="4"/>
    </row>
    <row r="144" spans="1:14" ht="30" customHeight="1" x14ac:dyDescent="0.15">
      <c r="A144" s="4" t="s">
        <v>196</v>
      </c>
      <c r="B144" s="4" t="s">
        <v>438</v>
      </c>
      <c r="C144" s="4"/>
      <c r="D144" s="4"/>
      <c r="E144" s="4"/>
      <c r="F144" s="4" t="s">
        <v>491</v>
      </c>
      <c r="G144" s="4"/>
      <c r="H144" s="4"/>
      <c r="I144" s="4" t="s">
        <v>652</v>
      </c>
      <c r="J144" s="4"/>
      <c r="K144" s="4"/>
      <c r="L144" s="4" t="s">
        <v>553</v>
      </c>
      <c r="M144" s="4"/>
      <c r="N144" s="4"/>
    </row>
    <row r="145" spans="1:14" ht="30" customHeight="1" x14ac:dyDescent="0.15">
      <c r="A145" s="4" t="s">
        <v>197</v>
      </c>
      <c r="B145" s="4" t="s">
        <v>445</v>
      </c>
      <c r="C145" s="4"/>
      <c r="D145" s="4"/>
      <c r="E145" s="4"/>
      <c r="F145" s="4"/>
      <c r="G145" s="4"/>
      <c r="H145" s="4"/>
      <c r="I145" s="4" t="s">
        <v>653</v>
      </c>
      <c r="J145" s="4"/>
      <c r="K145" s="4"/>
      <c r="L145" s="4" t="s">
        <v>521</v>
      </c>
      <c r="M145" s="4"/>
      <c r="N145" s="4"/>
    </row>
    <row r="146" spans="1:14" ht="30" customHeight="1" x14ac:dyDescent="0.15">
      <c r="A146" s="4" t="s">
        <v>198</v>
      </c>
      <c r="B146" s="4" t="s">
        <v>451</v>
      </c>
      <c r="C146" s="4"/>
      <c r="D146" s="4"/>
      <c r="E146" s="4"/>
      <c r="F146" s="4"/>
      <c r="G146" s="4"/>
      <c r="H146" s="4"/>
      <c r="I146" s="4" t="s">
        <v>654</v>
      </c>
      <c r="J146" s="4"/>
      <c r="K146" s="4"/>
      <c r="L146" s="4" t="s">
        <v>525</v>
      </c>
      <c r="M146" s="4"/>
      <c r="N146" s="4"/>
    </row>
    <row r="147" spans="1:14" ht="30" customHeight="1" x14ac:dyDescent="0.15">
      <c r="A147" s="4" t="s">
        <v>199</v>
      </c>
      <c r="B147" s="4" t="s">
        <v>255</v>
      </c>
      <c r="C147" s="4"/>
      <c r="D147" s="4"/>
      <c r="E147" s="4"/>
      <c r="F147" s="4"/>
      <c r="G147" s="4"/>
      <c r="H147" s="4"/>
      <c r="I147" s="4" t="s">
        <v>655</v>
      </c>
      <c r="J147" s="4"/>
      <c r="K147" s="4"/>
      <c r="L147" s="4" t="s">
        <v>530</v>
      </c>
      <c r="M147" s="4"/>
      <c r="N147" s="4"/>
    </row>
    <row r="148" spans="1:14" ht="30" customHeight="1" x14ac:dyDescent="0.15">
      <c r="A148" s="4" t="s">
        <v>200</v>
      </c>
      <c r="B148" s="4" t="s">
        <v>260</v>
      </c>
      <c r="C148" s="4"/>
      <c r="D148" s="4"/>
      <c r="E148" s="4"/>
      <c r="F148" s="4"/>
      <c r="G148" s="4"/>
      <c r="H148" s="4"/>
      <c r="I148" s="4" t="s">
        <v>656</v>
      </c>
      <c r="J148" s="4"/>
      <c r="K148" s="4"/>
      <c r="L148" s="4" t="s">
        <v>535</v>
      </c>
      <c r="M148" s="4"/>
      <c r="N148" s="4"/>
    </row>
    <row r="149" spans="1:14" ht="30" customHeight="1" x14ac:dyDescent="0.15">
      <c r="A149" s="4" t="s">
        <v>201</v>
      </c>
      <c r="B149" s="4" t="s">
        <v>266</v>
      </c>
      <c r="C149" s="4"/>
      <c r="D149" s="4"/>
      <c r="E149" s="4"/>
      <c r="F149" s="4"/>
      <c r="G149" s="4"/>
      <c r="H149" s="4"/>
      <c r="I149" s="4" t="s">
        <v>657</v>
      </c>
      <c r="J149" s="4"/>
      <c r="K149" s="4"/>
      <c r="L149" s="4" t="s">
        <v>540</v>
      </c>
      <c r="M149" s="4"/>
      <c r="N149" s="4"/>
    </row>
    <row r="150" spans="1:14" ht="30" customHeight="1" x14ac:dyDescent="0.15">
      <c r="A150" s="4" t="s">
        <v>202</v>
      </c>
      <c r="B150" s="4" t="s">
        <v>271</v>
      </c>
      <c r="C150" s="4"/>
      <c r="D150" s="4"/>
      <c r="E150" s="4"/>
      <c r="F150" s="4"/>
      <c r="G150" s="4"/>
      <c r="H150" s="4"/>
      <c r="I150" s="4" t="s">
        <v>658</v>
      </c>
      <c r="J150" s="4"/>
      <c r="K150" s="4"/>
      <c r="L150" s="4" t="s">
        <v>588</v>
      </c>
      <c r="M150" s="4"/>
      <c r="N150" s="4"/>
    </row>
    <row r="151" spans="1:14" ht="30" customHeight="1" x14ac:dyDescent="0.15">
      <c r="A151" s="4" t="s">
        <v>203</v>
      </c>
      <c r="B151" s="4" t="s">
        <v>277</v>
      </c>
      <c r="C151" s="4"/>
      <c r="D151" s="4"/>
      <c r="E151" s="4"/>
      <c r="F151" s="4"/>
      <c r="G151" s="4"/>
      <c r="H151" s="4"/>
      <c r="I151" s="4" t="s">
        <v>659</v>
      </c>
      <c r="J151" s="4"/>
      <c r="K151" s="4"/>
      <c r="L151" s="4" t="s">
        <v>559</v>
      </c>
      <c r="M151" s="4"/>
      <c r="N151" s="4"/>
    </row>
    <row r="152" spans="1:14" ht="30" customHeight="1" x14ac:dyDescent="0.15">
      <c r="A152" s="4" t="s">
        <v>204</v>
      </c>
      <c r="B152" s="4" t="s">
        <v>283</v>
      </c>
      <c r="C152" s="4"/>
      <c r="D152" s="4"/>
      <c r="E152" s="4"/>
      <c r="F152" s="4"/>
      <c r="G152" s="4"/>
      <c r="H152" s="4"/>
      <c r="I152" s="4" t="s">
        <v>660</v>
      </c>
      <c r="J152" s="4"/>
      <c r="K152" s="4"/>
      <c r="L152" s="4" t="s">
        <v>437</v>
      </c>
      <c r="M152" s="4"/>
      <c r="N152" s="4"/>
    </row>
    <row r="153" spans="1:14" ht="30" customHeight="1" x14ac:dyDescent="0.15">
      <c r="A153" s="4" t="s">
        <v>205</v>
      </c>
      <c r="B153" s="4" t="s">
        <v>289</v>
      </c>
      <c r="C153" s="4"/>
      <c r="D153" s="4"/>
      <c r="E153" s="4"/>
      <c r="F153" s="4"/>
      <c r="G153" s="4"/>
      <c r="H153" s="4"/>
      <c r="I153" s="4" t="s">
        <v>661</v>
      </c>
      <c r="J153" s="4"/>
      <c r="K153" s="4"/>
      <c r="L153" s="4" t="s">
        <v>444</v>
      </c>
      <c r="M153" s="4"/>
      <c r="N153" s="4"/>
    </row>
    <row r="154" spans="1:14" ht="30" customHeight="1" x14ac:dyDescent="0.15">
      <c r="A154" s="4" t="s">
        <v>206</v>
      </c>
      <c r="B154" s="4" t="s">
        <v>296</v>
      </c>
      <c r="C154" s="4"/>
      <c r="D154" s="4"/>
      <c r="E154" s="4"/>
      <c r="F154" s="4"/>
      <c r="G154" s="4"/>
      <c r="H154" s="4"/>
      <c r="I154" s="4" t="s">
        <v>662</v>
      </c>
      <c r="J154" s="4"/>
      <c r="K154" s="4"/>
      <c r="L154" s="4" t="s">
        <v>420</v>
      </c>
      <c r="M154" s="4"/>
      <c r="N154" s="4"/>
    </row>
    <row r="155" spans="1:14" ht="30" customHeight="1" x14ac:dyDescent="0.15">
      <c r="A155" s="4" t="s">
        <v>207</v>
      </c>
      <c r="B155" s="4" t="s">
        <v>303</v>
      </c>
      <c r="C155" s="4"/>
      <c r="D155" s="4"/>
      <c r="E155" s="4"/>
      <c r="F155" s="4"/>
      <c r="G155" s="4"/>
      <c r="H155" s="4"/>
      <c r="I155" s="4" t="s">
        <v>663</v>
      </c>
      <c r="J155" s="4"/>
      <c r="K155" s="4"/>
      <c r="L155" s="4" t="s">
        <v>427</v>
      </c>
      <c r="M155" s="4"/>
      <c r="N155" s="4"/>
    </row>
    <row r="156" spans="1:14" ht="30" customHeight="1" x14ac:dyDescent="0.15">
      <c r="A156" s="4" t="s">
        <v>208</v>
      </c>
      <c r="B156" s="4" t="s">
        <v>309</v>
      </c>
      <c r="C156" s="4"/>
      <c r="D156" s="4"/>
      <c r="E156" s="4"/>
      <c r="F156" s="4"/>
      <c r="G156" s="4"/>
      <c r="H156" s="4"/>
      <c r="I156" s="4" t="s">
        <v>664</v>
      </c>
      <c r="J156" s="4"/>
      <c r="K156" s="4"/>
      <c r="L156" s="4" t="s">
        <v>495</v>
      </c>
      <c r="M156" s="4"/>
      <c r="N156" s="4"/>
    </row>
    <row r="157" spans="1:14" ht="30" customHeight="1" x14ac:dyDescent="0.15">
      <c r="A157" s="4" t="s">
        <v>209</v>
      </c>
      <c r="B157" s="4" t="s">
        <v>316</v>
      </c>
      <c r="C157" s="4"/>
      <c r="D157" s="4"/>
      <c r="E157" s="4"/>
      <c r="F157" s="4"/>
      <c r="G157" s="4"/>
      <c r="H157" s="4"/>
      <c r="I157" s="4" t="s">
        <v>665</v>
      </c>
      <c r="J157" s="4"/>
      <c r="K157" s="4"/>
      <c r="L157" s="4" t="s">
        <v>577</v>
      </c>
      <c r="M157" s="4"/>
      <c r="N157" s="4"/>
    </row>
    <row r="158" spans="1:14" ht="30" customHeight="1" x14ac:dyDescent="0.15">
      <c r="A158" s="4" t="s">
        <v>210</v>
      </c>
      <c r="B158" s="4" t="s">
        <v>321</v>
      </c>
      <c r="C158" s="4"/>
      <c r="D158" s="4"/>
      <c r="E158" s="4"/>
      <c r="F158" s="4"/>
      <c r="G158" s="4"/>
      <c r="H158" s="4"/>
      <c r="I158" s="4" t="s">
        <v>666</v>
      </c>
      <c r="J158" s="4"/>
      <c r="K158" s="4"/>
      <c r="L158" s="4" t="s">
        <v>585</v>
      </c>
      <c r="M158" s="4"/>
      <c r="N158" s="4"/>
    </row>
    <row r="159" spans="1:14" ht="30" customHeight="1" x14ac:dyDescent="0.15">
      <c r="A159" s="4" t="s">
        <v>211</v>
      </c>
      <c r="B159" s="4" t="s">
        <v>327</v>
      </c>
      <c r="C159" s="4"/>
      <c r="D159" s="4"/>
      <c r="E159" s="4"/>
      <c r="F159" s="4"/>
      <c r="G159" s="4"/>
      <c r="H159" s="4"/>
      <c r="I159" s="4" t="s">
        <v>667</v>
      </c>
      <c r="J159" s="4"/>
      <c r="K159" s="4"/>
      <c r="L159" s="4" t="s">
        <v>586</v>
      </c>
      <c r="M159" s="4"/>
      <c r="N159" s="4"/>
    </row>
    <row r="160" spans="1:14" ht="30" customHeight="1" x14ac:dyDescent="0.15">
      <c r="A160" s="4" t="s">
        <v>212</v>
      </c>
      <c r="B160" s="4" t="s">
        <v>333</v>
      </c>
      <c r="C160" s="4"/>
      <c r="D160" s="4"/>
      <c r="E160" s="4"/>
      <c r="F160" s="4"/>
      <c r="G160" s="4"/>
      <c r="H160" s="4"/>
      <c r="I160" s="4" t="s">
        <v>668</v>
      </c>
      <c r="J160" s="4"/>
      <c r="K160" s="4"/>
      <c r="L160" s="4" t="s">
        <v>590</v>
      </c>
      <c r="M160" s="4"/>
      <c r="N160" s="4"/>
    </row>
    <row r="161" spans="1:14" ht="30" customHeight="1" x14ac:dyDescent="0.15">
      <c r="A161" s="4" t="s">
        <v>213</v>
      </c>
      <c r="B161" s="4" t="s">
        <v>339</v>
      </c>
      <c r="C161" s="4"/>
      <c r="D161" s="4"/>
      <c r="E161" s="4"/>
      <c r="F161" s="4"/>
      <c r="G161" s="4"/>
      <c r="H161" s="4"/>
      <c r="I161" s="4" t="s">
        <v>669</v>
      </c>
      <c r="J161" s="4"/>
      <c r="K161" s="4"/>
      <c r="L161" s="4" t="s">
        <v>592</v>
      </c>
      <c r="M161" s="4"/>
      <c r="N161" s="4"/>
    </row>
    <row r="162" spans="1:14" ht="30" customHeight="1" x14ac:dyDescent="0.15">
      <c r="A162" s="4" t="s">
        <v>214</v>
      </c>
      <c r="B162" s="4" t="s">
        <v>343</v>
      </c>
      <c r="C162" s="4"/>
      <c r="D162" s="4"/>
      <c r="E162" s="4"/>
      <c r="F162" s="4"/>
      <c r="G162" s="4"/>
      <c r="H162" s="4"/>
      <c r="I162" s="4" t="s">
        <v>670</v>
      </c>
      <c r="J162" s="4"/>
      <c r="K162" s="4"/>
      <c r="L162" s="4" t="s">
        <v>594</v>
      </c>
      <c r="M162" s="4"/>
      <c r="N162" s="4"/>
    </row>
    <row r="163" spans="1:14" ht="30" customHeight="1" x14ac:dyDescent="0.15">
      <c r="A163" s="4" t="s">
        <v>215</v>
      </c>
      <c r="B163" s="4" t="s">
        <v>348</v>
      </c>
      <c r="C163" s="4"/>
      <c r="D163" s="4"/>
      <c r="E163" s="4"/>
      <c r="F163" s="4"/>
      <c r="G163" s="4"/>
      <c r="H163" s="4"/>
      <c r="I163" s="4" t="s">
        <v>671</v>
      </c>
      <c r="J163" s="4"/>
      <c r="K163" s="4"/>
      <c r="L163" s="4" t="s">
        <v>596</v>
      </c>
      <c r="M163" s="4"/>
      <c r="N163" s="4"/>
    </row>
    <row r="164" spans="1:14" ht="30" customHeight="1" x14ac:dyDescent="0.15">
      <c r="A164" s="4" t="s">
        <v>216</v>
      </c>
      <c r="B164" s="4" t="s">
        <v>354</v>
      </c>
      <c r="C164" s="4"/>
      <c r="D164" s="4"/>
      <c r="E164" s="4"/>
      <c r="F164" s="4"/>
      <c r="G164" s="4"/>
      <c r="H164" s="4"/>
      <c r="I164" s="4" t="s">
        <v>672</v>
      </c>
      <c r="J164" s="4"/>
      <c r="K164" s="4"/>
      <c r="L164" s="4" t="s">
        <v>579</v>
      </c>
      <c r="M164" s="4"/>
      <c r="N164" s="4"/>
    </row>
    <row r="165" spans="1:14" ht="30" customHeight="1" x14ac:dyDescent="0.15">
      <c r="A165" s="4" t="s">
        <v>217</v>
      </c>
      <c r="B165" s="4" t="s">
        <v>359</v>
      </c>
      <c r="C165" s="4"/>
      <c r="D165" s="4"/>
      <c r="E165" s="4"/>
      <c r="F165" s="4"/>
      <c r="G165" s="4"/>
      <c r="H165" s="4"/>
      <c r="I165" s="4" t="s">
        <v>673</v>
      </c>
      <c r="J165" s="4"/>
      <c r="K165" s="4"/>
      <c r="L165" s="4" t="s">
        <v>578</v>
      </c>
      <c r="M165" s="4"/>
      <c r="N165" s="4"/>
    </row>
    <row r="166" spans="1:14" ht="30" customHeight="1" x14ac:dyDescent="0.15">
      <c r="A166" s="4" t="s">
        <v>218</v>
      </c>
      <c r="B166" s="4" t="s">
        <v>365</v>
      </c>
      <c r="C166" s="4"/>
      <c r="D166" s="4"/>
      <c r="E166" s="4"/>
      <c r="F166" s="4"/>
      <c r="G166" s="4"/>
      <c r="H166" s="4"/>
      <c r="I166" s="4" t="s">
        <v>674</v>
      </c>
      <c r="J166" s="4"/>
      <c r="K166" s="4"/>
      <c r="L166" s="4" t="s">
        <v>580</v>
      </c>
      <c r="M166" s="4"/>
      <c r="N166" s="4"/>
    </row>
    <row r="167" spans="1:14" ht="30" customHeight="1" x14ac:dyDescent="0.15">
      <c r="A167" s="4" t="s">
        <v>219</v>
      </c>
      <c r="B167" s="4" t="s">
        <v>371</v>
      </c>
      <c r="C167" s="4"/>
      <c r="D167" s="4"/>
      <c r="E167" s="4"/>
      <c r="F167" s="4"/>
      <c r="G167" s="4"/>
      <c r="H167" s="4"/>
      <c r="I167" s="4" t="s">
        <v>370</v>
      </c>
      <c r="J167" s="4"/>
      <c r="K167" s="4"/>
      <c r="L167" s="4" t="s">
        <v>581</v>
      </c>
      <c r="M167" s="4"/>
      <c r="N167" s="4"/>
    </row>
    <row r="168" spans="1:14" ht="30" customHeight="1" x14ac:dyDescent="0.15">
      <c r="A168" s="4" t="s">
        <v>220</v>
      </c>
      <c r="B168" s="4" t="s">
        <v>378</v>
      </c>
      <c r="C168" s="4"/>
      <c r="D168" s="4"/>
      <c r="E168" s="4"/>
      <c r="F168" s="4"/>
      <c r="G168" s="4"/>
      <c r="H168" s="4"/>
      <c r="I168" s="4" t="s">
        <v>377</v>
      </c>
      <c r="J168" s="4"/>
      <c r="K168" s="4"/>
      <c r="L168" s="4" t="s">
        <v>582</v>
      </c>
      <c r="M168" s="4"/>
      <c r="N168" s="4"/>
    </row>
    <row r="169" spans="1:14" ht="30" customHeight="1" x14ac:dyDescent="0.15">
      <c r="A169" s="4" t="s">
        <v>221</v>
      </c>
      <c r="B169" s="4" t="s">
        <v>385</v>
      </c>
      <c r="C169" s="4"/>
      <c r="D169" s="4"/>
      <c r="E169" s="4"/>
      <c r="F169" s="4"/>
      <c r="G169" s="4"/>
      <c r="H169" s="4"/>
      <c r="I169" s="4" t="s">
        <v>384</v>
      </c>
      <c r="J169" s="4"/>
      <c r="K169" s="4"/>
      <c r="L169" s="4" t="s">
        <v>583</v>
      </c>
      <c r="M169" s="4"/>
      <c r="N169" s="4"/>
    </row>
    <row r="170" spans="1:14" ht="30" customHeight="1" x14ac:dyDescent="0.15">
      <c r="A170" s="4" t="s">
        <v>222</v>
      </c>
      <c r="B170" s="4" t="s">
        <v>393</v>
      </c>
      <c r="C170" s="4"/>
      <c r="D170" s="4"/>
      <c r="E170" s="4"/>
      <c r="F170" s="4"/>
      <c r="G170" s="4"/>
      <c r="H170" s="4"/>
      <c r="I170" s="4" t="s">
        <v>392</v>
      </c>
      <c r="J170" s="4"/>
      <c r="K170" s="4"/>
      <c r="L170" s="4" t="s">
        <v>584</v>
      </c>
      <c r="M170" s="4"/>
      <c r="N17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PinMap</vt:lpstr>
      <vt:lpstr>Lists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zhengzhang Yan</cp:lastModifiedBy>
  <dcterms:created xsi:type="dcterms:W3CDTF">2025-12-08T13:17:41Z</dcterms:created>
  <dcterms:modified xsi:type="dcterms:W3CDTF">2026-04-19T08:45:40Z</dcterms:modified>
</cp:coreProperties>
</file>